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ownload\New folder (51)\"/>
    </mc:Choice>
  </mc:AlternateContent>
  <xr:revisionPtr revIDLastSave="0" documentId="13_ncr:1_{359E794F-09D8-40BA-92EA-17D4887929FA}" xr6:coauthVersionLast="47" xr6:coauthVersionMax="47" xr10:uidLastSave="{00000000-0000-0000-0000-000000000000}"/>
  <bookViews>
    <workbookView xWindow="-120" yWindow="-120" windowWidth="29040" windowHeight="15720" xr2:uid="{D8FBCA96-4124-43E1-9B2C-CB13CD23C1C8}"/>
  </bookViews>
  <sheets>
    <sheet name="BIM Teams" sheetId="1" r:id="rId1"/>
    <sheet name="Work load" sheetId="3" r:id="rId2"/>
    <sheet name="Sheet2" sheetId="2" r:id="rId3"/>
  </sheets>
  <definedNames>
    <definedName name="_xlnm._FilterDatabase" localSheetId="0" hidden="1">'BIM Teams'!$A$1:$I$24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38" i="1" l="1"/>
  <c r="G127" i="1"/>
  <c r="C20" i="3" s="1"/>
  <c r="G101" i="1"/>
  <c r="C14" i="3" s="1"/>
  <c r="G82" i="1"/>
  <c r="C17" i="3" s="1"/>
  <c r="G55" i="1"/>
  <c r="C8" i="3" s="1"/>
  <c r="G38" i="1"/>
  <c r="C5" i="3" s="1"/>
  <c r="G13" i="1"/>
  <c r="C2" i="3" s="1"/>
  <c r="G65" i="1"/>
  <c r="G60" i="1"/>
  <c r="G64" i="1"/>
  <c r="G75" i="1" l="1"/>
  <c r="C11" i="3" s="1"/>
</calcChain>
</file>

<file path=xl/sharedStrings.xml><?xml version="1.0" encoding="utf-8"?>
<sst xmlns="http://schemas.openxmlformats.org/spreadsheetml/2006/main" count="795" uniqueCount="182">
  <si>
    <t>BIM Manager</t>
  </si>
  <si>
    <t>BIM Coordinator</t>
  </si>
  <si>
    <t>Project No.</t>
  </si>
  <si>
    <t>Project Name</t>
  </si>
  <si>
    <t>CDE</t>
  </si>
  <si>
    <t>Type</t>
  </si>
  <si>
    <t>Built-Up Area</t>
  </si>
  <si>
    <t>Status</t>
  </si>
  <si>
    <t>Sanaa Ahmed</t>
  </si>
  <si>
    <t>Abdelrahman Radwan</t>
  </si>
  <si>
    <t>Wadi Yamm ( 6 Plots)</t>
  </si>
  <si>
    <t>ACC</t>
  </si>
  <si>
    <t>BIM</t>
  </si>
  <si>
    <t>Open</t>
  </si>
  <si>
    <t>Active</t>
  </si>
  <si>
    <t>Wadi Yamm (DP01 &amp; DP02 ) Landscape</t>
  </si>
  <si>
    <t>ZED EAST C12 A-B</t>
  </si>
  <si>
    <t>Not Active</t>
  </si>
  <si>
    <t>Miskan Elaros</t>
  </si>
  <si>
    <t>ZED West 5A</t>
  </si>
  <si>
    <t>Server</t>
  </si>
  <si>
    <t>Closed</t>
  </si>
  <si>
    <t>DRI-DRJ (Mostakbal City)</t>
  </si>
  <si>
    <t xml:space="preserve">Alfanar Front </t>
  </si>
  <si>
    <t>Al Samha Mosque</t>
  </si>
  <si>
    <t>Suez Canal Office Building</t>
  </si>
  <si>
    <t>MMM-Car Ass.</t>
  </si>
  <si>
    <t>Hold</t>
  </si>
  <si>
    <t>Admin Building LIBYA</t>
  </si>
  <si>
    <t>Ibrahim Afify</t>
  </si>
  <si>
    <t>ZED EAST TOWERS-CLUSTER 12</t>
  </si>
  <si>
    <t>DORAR NAJD SCHOOL</t>
  </si>
  <si>
    <t xml:space="preserve"> I477</t>
  </si>
  <si>
    <t>New Plasma fractionation and Pilot Plant</t>
  </si>
  <si>
    <t>Moataz Belal</t>
  </si>
  <si>
    <t>ZED WEST - 5B</t>
  </si>
  <si>
    <t>Pavillion Phase 2</t>
  </si>
  <si>
    <t>Wyoming Data Center</t>
  </si>
  <si>
    <t>REHABILITATION OF ERCS'S</t>
  </si>
  <si>
    <t>RUA AL MADINAH SUPERBLOCK 5</t>
  </si>
  <si>
    <t>NUCA</t>
  </si>
  <si>
    <t>Soul Gates In North Coast</t>
  </si>
  <si>
    <t>KING ABDALLAH MOSQUE</t>
  </si>
  <si>
    <t>SKY INNOVO STARS</t>
  </si>
  <si>
    <t>QIDDIYA EDUCATION ASSETS</t>
  </si>
  <si>
    <t>MARASSI - RED SEA</t>
  </si>
  <si>
    <t>TWIN HOUSE</t>
  </si>
  <si>
    <t>LIWAN NAJD COMPOUND</t>
  </si>
  <si>
    <t>J421</t>
  </si>
  <si>
    <t>ENAR</t>
  </si>
  <si>
    <t>Cotonou Cultural (QCC)</t>
  </si>
  <si>
    <t>J798</t>
  </si>
  <si>
    <t>Med Log</t>
  </si>
  <si>
    <t>j002</t>
  </si>
  <si>
    <t>Alegeria Embassy</t>
  </si>
  <si>
    <t>INFRASTRUCTURE &amp; LANDSCAPE  DESIGN WORKS -TALAH PARK</t>
  </si>
  <si>
    <t>Al Rehab Pavalion</t>
  </si>
  <si>
    <t>WADI ROAD DESIGN COSULTANCY SERVICES</t>
  </si>
  <si>
    <t>Nesrin Elgohary</t>
  </si>
  <si>
    <t>ZED West Phase 3</t>
  </si>
  <si>
    <t>Hacienda Waters</t>
  </si>
  <si>
    <t xml:space="preserve">AL BUROUJ </t>
  </si>
  <si>
    <t>SOLANA</t>
  </si>
  <si>
    <t>Hacienda Blue</t>
  </si>
  <si>
    <t>3D Community Data Center</t>
  </si>
  <si>
    <t xml:space="preserve">SOUL RETAIL </t>
  </si>
  <si>
    <t>J584</t>
  </si>
  <si>
    <t>EGSOC Cold Storage</t>
  </si>
  <si>
    <t>Le Meridien</t>
  </si>
  <si>
    <t>Alam Elroom</t>
  </si>
  <si>
    <t>KFUPM-DRL</t>
  </si>
  <si>
    <t>NOT Active</t>
  </si>
  <si>
    <t>J935</t>
  </si>
  <si>
    <t>Stem Cell and Reg.Medicine</t>
  </si>
  <si>
    <t>NOOR CITY-DISTRICT CENTERS 2 &amp; 5</t>
  </si>
  <si>
    <t xml:space="preserve">KFUPM - COLLEGE OF DESIGN &amp; BUILT ENVIRONMENT </t>
  </si>
  <si>
    <t xml:space="preserve">Spine Pilot Project </t>
  </si>
  <si>
    <t>Mariam Samuel</t>
  </si>
  <si>
    <t xml:space="preserve">7068 Project Horus LESAFFRE </t>
  </si>
  <si>
    <t>Mahmoud Hussien</t>
  </si>
  <si>
    <t>Mixed use - Jeddah</t>
  </si>
  <si>
    <t xml:space="preserve">Active </t>
  </si>
  <si>
    <t xml:space="preserve">Madinat Zayed (Al-DAFRAH - Abu Dhabi) </t>
  </si>
  <si>
    <t>Al Ahly Sports City</t>
  </si>
  <si>
    <t>DASMAN MIXED-USE COMPLEX IN KUWAIT</t>
  </si>
  <si>
    <t>Maha Hassan</t>
  </si>
  <si>
    <t>ZED EAST Cluster C14</t>
  </si>
  <si>
    <t>CFC Mall Renovation and Expansion</t>
  </si>
  <si>
    <t>EIF Jeddah Shooting Range (JSR)</t>
  </si>
  <si>
    <t>EIF Riyad Shooting Range (RSR)</t>
  </si>
  <si>
    <t>Jirian</t>
  </si>
  <si>
    <t>I279</t>
  </si>
  <si>
    <t>Bid Support</t>
  </si>
  <si>
    <t>Marassi H Villa H1,H7,H8</t>
  </si>
  <si>
    <t xml:space="preserve">Soul Locanda </t>
  </si>
  <si>
    <t xml:space="preserve">Mostaqbal city </t>
  </si>
  <si>
    <t>i333</t>
  </si>
  <si>
    <t xml:space="preserve">Ras El Hekma </t>
  </si>
  <si>
    <t>D-PAVILION BUILDING AT BELLE VIE PROJECT - PHASE II</t>
  </si>
  <si>
    <t>Smart village conference center + Think Tank</t>
  </si>
  <si>
    <t>GTR GB2(2024)</t>
  </si>
  <si>
    <t>Amal Zaghloul</t>
  </si>
  <si>
    <t xml:space="preserve">ZOOD_ÉLEVÉE Mixed Use </t>
  </si>
  <si>
    <t>AL MURJAN Private Residence Villa</t>
  </si>
  <si>
    <t>ZOOD _ MINARA</t>
  </si>
  <si>
    <t>King Fahd University of Petroleum</t>
  </si>
  <si>
    <t>Rwanda Heart Center</t>
  </si>
  <si>
    <t xml:space="preserve">12 815 </t>
  </si>
  <si>
    <t>CAD</t>
  </si>
  <si>
    <t>Ibrahim Elghannam</t>
  </si>
  <si>
    <t>Rana Khaled</t>
  </si>
  <si>
    <t>Fort Capital French Fries Project</t>
  </si>
  <si>
    <t>KAFD monorail project</t>
  </si>
  <si>
    <t>F903</t>
  </si>
  <si>
    <t xml:space="preserve"> HSR - Blue Line  x 16 station</t>
  </si>
  <si>
    <t xml:space="preserve"> HSR - Green Line x 22 station</t>
  </si>
  <si>
    <t>DEPOT HSR</t>
  </si>
  <si>
    <t>DEPOT LINE 4</t>
  </si>
  <si>
    <t>KKIA (Design Review)</t>
  </si>
  <si>
    <t>Service Nodes - The 10TH RING ROAD - Libya projects</t>
  </si>
  <si>
    <t>BADYA – DISTRICT 6 – A6 &amp; A7</t>
  </si>
  <si>
    <t>El Robiky 10th of Ramadan</t>
  </si>
  <si>
    <t>J277</t>
  </si>
  <si>
    <t>SouthMED (TMG)</t>
  </si>
  <si>
    <t>Fort Capital Expansion</t>
  </si>
  <si>
    <t>Alula CASA</t>
  </si>
  <si>
    <t>Modon OD01 East beach community</t>
  </si>
  <si>
    <t>Silversands Branded apartments</t>
  </si>
  <si>
    <t>ZED MADISON EAST</t>
  </si>
  <si>
    <t>Tiffanny Cargo buildings</t>
  </si>
  <si>
    <t>Magna</t>
  </si>
  <si>
    <t>Mahmoud Mostafa</t>
  </si>
  <si>
    <t>Fatma Edriss</t>
  </si>
  <si>
    <t>Madinaty Plot Land 18&amp;19</t>
  </si>
  <si>
    <t>NEOM Sub station</t>
  </si>
  <si>
    <t>2000 per site ( 5 Sites)</t>
  </si>
  <si>
    <t>Palm x</t>
  </si>
  <si>
    <t>CRM</t>
  </si>
  <si>
    <t>JDRC  (Design Review)</t>
  </si>
  <si>
    <t>EBC - V.O. for modifications</t>
  </si>
  <si>
    <t>Hacienda Sidi Henish</t>
  </si>
  <si>
    <t>51,000 for Hotel</t>
  </si>
  <si>
    <t>Nile Maadi Towers</t>
  </si>
  <si>
    <t>BANI YAS WEST</t>
  </si>
  <si>
    <t>Csix Revit</t>
  </si>
  <si>
    <t>Paragon 3</t>
  </si>
  <si>
    <t>Open Air Bridge</t>
  </si>
  <si>
    <t>Special case</t>
  </si>
  <si>
    <t>Madinaty Plot 6</t>
  </si>
  <si>
    <t>Madinaty Plot 18</t>
  </si>
  <si>
    <t>Madinaty Plot 25</t>
  </si>
  <si>
    <t>Al Rehab Plot 14</t>
  </si>
  <si>
    <t>Al Rehab Plot 13</t>
  </si>
  <si>
    <t>Al Rehab Plot 17</t>
  </si>
  <si>
    <t>Special Case</t>
  </si>
  <si>
    <t>South Med Bridgs</t>
  </si>
  <si>
    <t>C202621</t>
  </si>
  <si>
    <t>Hamad General Hospital Safety Improvement RMP Main</t>
  </si>
  <si>
    <t xml:space="preserve">Port Said air port </t>
  </si>
  <si>
    <t>Nahla Magdy</t>
  </si>
  <si>
    <t>Mohamed Elzawawy</t>
  </si>
  <si>
    <t>Palm Hills- The One</t>
  </si>
  <si>
    <t xml:space="preserve">Sector 01 </t>
  </si>
  <si>
    <t>Sector 2&amp;3</t>
  </si>
  <si>
    <t>Brackets Hub</t>
  </si>
  <si>
    <t>Acres Residential</t>
  </si>
  <si>
    <t xml:space="preserve">Not Active </t>
  </si>
  <si>
    <t>Madinaty Central Park 1-1</t>
  </si>
  <si>
    <t>Madinaty Central Park Phase 1 Stage 1</t>
  </si>
  <si>
    <t>Madinaty Central Park Phase 2</t>
  </si>
  <si>
    <t>Terminated</t>
  </si>
  <si>
    <t>Mahitab Yosri</t>
  </si>
  <si>
    <t>Hagar Aboelala</t>
  </si>
  <si>
    <t>Ibrahim Elghanam</t>
  </si>
  <si>
    <t>Maha Hasan</t>
  </si>
  <si>
    <t>Fatma Edris</t>
  </si>
  <si>
    <t>Mais Talaat</t>
  </si>
  <si>
    <t>Mariam Samouel</t>
  </si>
  <si>
    <r>
      <t>26347</t>
    </r>
    <r>
      <rPr>
        <sz val="8.5"/>
        <color rgb="FF000000"/>
        <rFont val="Calibri"/>
        <charset val="1"/>
      </rPr>
      <t> </t>
    </r>
  </si>
  <si>
    <t xml:space="preserve">Hagar Abelala and Mais Talaat </t>
  </si>
  <si>
    <t>Hagar Abelala and Mais Talaat</t>
  </si>
  <si>
    <t>Abdelrahman Radwan and Mahitab Yosri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</si>
</sst>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</font>
    <font>
      <sz val="10"/>
      <color theme="1"/>
      <name val="Calibri"/>
      <family val="2"/>
      <charset val="1"/>
    </font>
    <font>
      <sz val="11"/>
      <color rgb="FF000000"/>
      <name val="Aptos Narrow"/>
      <charset val="1"/>
    </font>
    <font>
      <b/>
      <sz val="11"/>
      <color rgb="FF3C3C3C"/>
      <name val="Artifakt Element"/>
      <family val="2"/>
      <charset val="1"/>
    </font>
    <font>
      <sz val="8.5"/>
      <color rgb="FF000000"/>
      <name val="Calibri"/>
      <charset val="1"/>
    </font>
    <font>
      <b/>
      <sz val="16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left" wrapText="1"/>
    </xf>
    <xf numFmtId="0" fontId="0" fillId="2" borderId="1" xfId="0" applyFill="1" applyBorder="1" applyAlignment="1">
      <alignment horizontal="center" wrapText="1"/>
    </xf>
    <xf numFmtId="4" fontId="0" fillId="3" borderId="1" xfId="0" applyNumberFormat="1" applyFill="1" applyBorder="1" applyAlignment="1">
      <alignment horizontal="left" vertical="center" wrapText="1"/>
    </xf>
    <xf numFmtId="4" fontId="0" fillId="2" borderId="1" xfId="0" applyNumberFormat="1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0" fontId="0" fillId="2" borderId="1" xfId="0" applyFill="1" applyBorder="1"/>
    <xf numFmtId="3" fontId="4" fillId="0" borderId="0" xfId="0" applyNumberFormat="1" applyFont="1" applyAlignment="1">
      <alignment horizontal="left"/>
    </xf>
    <xf numFmtId="0" fontId="0" fillId="2" borderId="1" xfId="0" applyFill="1" applyBorder="1" applyAlignment="1">
      <alignment vertical="center" wrapText="1"/>
    </xf>
    <xf numFmtId="0" fontId="5" fillId="0" borderId="0" xfId="0" applyFont="1"/>
    <xf numFmtId="0" fontId="0" fillId="6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left" vertical="center" wrapText="1"/>
    </xf>
    <xf numFmtId="3" fontId="3" fillId="0" borderId="1" xfId="0" applyNumberFormat="1" applyFont="1" applyBorder="1" applyAlignment="1">
      <alignment horizontal="left" wrapText="1"/>
    </xf>
    <xf numFmtId="3" fontId="3" fillId="0" borderId="2" xfId="0" applyNumberFormat="1" applyFont="1" applyBorder="1" applyAlignment="1">
      <alignment horizontal="left" wrapText="1"/>
    </xf>
    <xf numFmtId="3" fontId="0" fillId="2" borderId="1" xfId="0" applyNumberFormat="1" applyFill="1" applyBorder="1" applyAlignment="1">
      <alignment horizontal="left" vertical="center" wrapText="1"/>
    </xf>
    <xf numFmtId="3" fontId="0" fillId="0" borderId="0" xfId="0" applyNumberFormat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wrapText="1"/>
    </xf>
    <xf numFmtId="0" fontId="0" fillId="0" borderId="1" xfId="0" applyFill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2" borderId="0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0" fillId="3" borderId="0" xfId="0" applyFill="1" applyBorder="1" applyAlignment="1">
      <alignment horizontal="left" vertical="center" wrapText="1"/>
    </xf>
    <xf numFmtId="4" fontId="0" fillId="3" borderId="0" xfId="0" applyNumberFormat="1" applyFill="1" applyBorder="1" applyAlignment="1">
      <alignment horizontal="left" vertical="center" wrapText="1"/>
    </xf>
    <xf numFmtId="0" fontId="0" fillId="2" borderId="1" xfId="0" applyFont="1" applyFill="1" applyBorder="1" applyAlignment="1">
      <alignment horizontal="left" vertical="center" wrapText="1"/>
    </xf>
    <xf numFmtId="0" fontId="0" fillId="2" borderId="1" xfId="0" applyFont="1" applyFill="1" applyBorder="1" applyAlignment="1">
      <alignment horizontal="center" wrapText="1"/>
    </xf>
    <xf numFmtId="0" fontId="0" fillId="2" borderId="1" xfId="0" applyFont="1" applyFill="1" applyBorder="1" applyAlignment="1">
      <alignment wrapText="1"/>
    </xf>
    <xf numFmtId="3" fontId="0" fillId="2" borderId="1" xfId="0" applyNumberFormat="1" applyFont="1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center" vertical="center" wrapText="1"/>
    </xf>
    <xf numFmtId="3" fontId="0" fillId="7" borderId="1" xfId="0" applyNumberFormat="1" applyFill="1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3" fontId="0" fillId="3" borderId="1" xfId="0" applyNumberFormat="1" applyFill="1" applyBorder="1" applyAlignment="1">
      <alignment horizontal="left" vertical="center" wrapText="1"/>
    </xf>
    <xf numFmtId="0" fontId="0" fillId="7" borderId="0" xfId="0" applyFill="1" applyBorder="1" applyAlignment="1">
      <alignment horizontal="left" vertical="center" wrapText="1"/>
    </xf>
    <xf numFmtId="0" fontId="0" fillId="5" borderId="0" xfId="0" applyFill="1" applyBorder="1" applyAlignment="1">
      <alignment horizontal="left" vertical="center" wrapText="1"/>
    </xf>
    <xf numFmtId="0" fontId="0" fillId="2" borderId="0" xfId="0" applyFill="1" applyBorder="1" applyAlignment="1">
      <alignment wrapText="1"/>
    </xf>
    <xf numFmtId="0" fontId="0" fillId="6" borderId="0" xfId="0" applyFill="1" applyBorder="1" applyAlignment="1">
      <alignment horizontal="left" vertical="center" wrapText="1"/>
    </xf>
    <xf numFmtId="0" fontId="5" fillId="3" borderId="0" xfId="0" applyFont="1" applyFill="1"/>
    <xf numFmtId="0" fontId="0" fillId="0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top" wrapText="1"/>
    </xf>
    <xf numFmtId="0" fontId="0" fillId="3" borderId="1" xfId="0" applyFill="1" applyBorder="1" applyAlignment="1">
      <alignment wrapText="1"/>
    </xf>
    <xf numFmtId="3" fontId="4" fillId="2" borderId="0" xfId="0" applyNumberFormat="1" applyFont="1" applyFill="1" applyAlignment="1">
      <alignment horizontal="left"/>
    </xf>
    <xf numFmtId="0" fontId="0" fillId="3" borderId="6" xfId="0" applyFill="1" applyBorder="1" applyAlignment="1">
      <alignment horizontal="left" vertical="center" wrapText="1"/>
    </xf>
    <xf numFmtId="0" fontId="0" fillId="3" borderId="6" xfId="0" applyFill="1" applyBorder="1" applyAlignment="1">
      <alignment horizontal="center" vertical="center" wrapText="1"/>
    </xf>
    <xf numFmtId="4" fontId="0" fillId="3" borderId="0" xfId="0" applyNumberFormat="1" applyFill="1" applyAlignment="1">
      <alignment horizontal="left" vertical="center" wrapText="1"/>
    </xf>
    <xf numFmtId="3" fontId="0" fillId="0" borderId="4" xfId="0" applyNumberFormat="1" applyBorder="1" applyAlignment="1">
      <alignment horizontal="left" vertical="center" wrapText="1"/>
    </xf>
    <xf numFmtId="0" fontId="0" fillId="3" borderId="1" xfId="0" applyFill="1" applyBorder="1" applyAlignment="1">
      <alignment horizontal="left"/>
    </xf>
    <xf numFmtId="3" fontId="8" fillId="0" borderId="7" xfId="0" applyNumberFormat="1" applyFont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0" fontId="0" fillId="3" borderId="9" xfId="0" applyFill="1" applyBorder="1" applyAlignment="1">
      <alignment horizontal="left" vertical="center" wrapText="1"/>
    </xf>
    <xf numFmtId="0" fontId="0" fillId="3" borderId="10" xfId="0" applyFill="1" applyBorder="1" applyAlignment="1">
      <alignment horizontal="left" vertical="center" wrapText="1"/>
    </xf>
    <xf numFmtId="0" fontId="0" fillId="3" borderId="8" xfId="0" applyFill="1" applyBorder="1" applyAlignment="1">
      <alignment horizontal="left" vertical="center" wrapText="1"/>
    </xf>
    <xf numFmtId="0" fontId="0" fillId="0" borderId="0" xfId="0" applyBorder="1" applyAlignment="1">
      <alignment horizontal="center" vertical="center" wrapText="1"/>
    </xf>
    <xf numFmtId="3" fontId="1" fillId="4" borderId="4" xfId="0" applyNumberFormat="1" applyFont="1" applyFill="1" applyBorder="1" applyAlignment="1">
      <alignment horizontal="left" vertical="center" wrapText="1"/>
    </xf>
    <xf numFmtId="3" fontId="0" fillId="0" borderId="2" xfId="0" applyNumberFormat="1" applyBorder="1" applyAlignment="1">
      <alignment horizontal="left" vertical="center" wrapText="1"/>
    </xf>
    <xf numFmtId="3" fontId="0" fillId="3" borderId="6" xfId="0" applyNumberFormat="1" applyFill="1" applyBorder="1" applyAlignment="1">
      <alignment horizontal="left" vertical="center" wrapText="1"/>
    </xf>
    <xf numFmtId="3" fontId="0" fillId="5" borderId="1" xfId="0" applyNumberFormat="1" applyFill="1" applyBorder="1" applyAlignment="1">
      <alignment horizontal="left" vertical="center" wrapText="1"/>
    </xf>
    <xf numFmtId="3" fontId="0" fillId="0" borderId="1" xfId="0" applyNumberFormat="1" applyFill="1" applyBorder="1" applyAlignment="1">
      <alignment horizontal="left" vertical="center" wrapText="1"/>
    </xf>
    <xf numFmtId="3" fontId="0" fillId="2" borderId="1" xfId="0" applyNumberFormat="1" applyFill="1" applyBorder="1" applyAlignment="1">
      <alignment horizontal="left" wrapText="1"/>
    </xf>
    <xf numFmtId="3" fontId="0" fillId="6" borderId="1" xfId="0" applyNumberFormat="1" applyFill="1" applyBorder="1" applyAlignment="1">
      <alignment horizontal="left" vertical="center" wrapText="1"/>
    </xf>
    <xf numFmtId="4" fontId="0" fillId="3" borderId="1" xfId="0" applyNumberForma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4" borderId="5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F9992-65E3-40E0-8C2C-3386FECFE7D2}">
  <dimension ref="A1:I139"/>
  <sheetViews>
    <sheetView tabSelected="1" zoomScale="115" zoomScaleNormal="115" workbookViewId="0">
      <pane xSplit="8" ySplit="1" topLeftCell="I2" activePane="bottomRight" state="frozen"/>
      <selection pane="topRight"/>
      <selection pane="bottomLeft"/>
      <selection pane="bottomRight" activeCell="B16" sqref="B16"/>
    </sheetView>
  </sheetViews>
  <sheetFormatPr defaultColWidth="9.125" defaultRowHeight="16.5" customHeight="1"/>
  <cols>
    <col min="1" max="1" width="20.125" style="2" customWidth="1"/>
    <col min="2" max="2" width="39.5" style="2" customWidth="1"/>
    <col min="3" max="3" width="11" style="8" customWidth="1"/>
    <col min="4" max="4" width="56" style="2" bestFit="1" customWidth="1"/>
    <col min="5" max="6" width="11.125" style="2" customWidth="1"/>
    <col min="7" max="7" width="30.875" style="47" customWidth="1"/>
    <col min="8" max="8" width="11.625" style="2" customWidth="1"/>
    <col min="9" max="9" width="19.625" style="2" customWidth="1"/>
    <col min="10" max="16384" width="9.125" style="2"/>
  </cols>
  <sheetData>
    <row r="1" spans="1:9" ht="16.5" customHeight="1">
      <c r="A1" s="53" t="s">
        <v>0</v>
      </c>
      <c r="B1" s="53" t="s">
        <v>1</v>
      </c>
      <c r="C1" s="54" t="s">
        <v>2</v>
      </c>
      <c r="D1" s="53" t="s">
        <v>3</v>
      </c>
      <c r="E1" s="53" t="s">
        <v>4</v>
      </c>
      <c r="F1" s="53" t="s">
        <v>5</v>
      </c>
      <c r="G1" s="90" t="s">
        <v>6</v>
      </c>
      <c r="H1" s="100" t="s">
        <v>7</v>
      </c>
      <c r="I1" s="101"/>
    </row>
    <row r="2" spans="1:9" ht="16.5" customHeight="1">
      <c r="A2" s="58" t="s">
        <v>8</v>
      </c>
      <c r="B2" s="58" t="s">
        <v>181</v>
      </c>
      <c r="C2" s="10">
        <v>3674</v>
      </c>
      <c r="D2" s="55" t="s">
        <v>10</v>
      </c>
      <c r="E2" s="55" t="s">
        <v>11</v>
      </c>
      <c r="F2" s="55" t="s">
        <v>12</v>
      </c>
      <c r="G2" s="91">
        <v>291069</v>
      </c>
      <c r="H2" s="52" t="s">
        <v>13</v>
      </c>
      <c r="I2" s="68" t="s">
        <v>14</v>
      </c>
    </row>
    <row r="3" spans="1:9" ht="16.5" customHeight="1">
      <c r="A3" s="9" t="s">
        <v>8</v>
      </c>
      <c r="B3" s="9" t="s">
        <v>181</v>
      </c>
      <c r="C3" s="10"/>
      <c r="D3" s="55" t="s">
        <v>15</v>
      </c>
      <c r="E3" s="55" t="s">
        <v>11</v>
      </c>
      <c r="F3" s="55" t="s">
        <v>12</v>
      </c>
      <c r="G3" s="91"/>
      <c r="H3" s="52" t="s">
        <v>13</v>
      </c>
      <c r="I3" s="2" t="s">
        <v>14</v>
      </c>
    </row>
    <row r="4" spans="1:9" ht="16.5" customHeight="1">
      <c r="A4" s="9" t="s">
        <v>8</v>
      </c>
      <c r="B4" s="9" t="s">
        <v>181</v>
      </c>
      <c r="C4" s="10">
        <v>3722</v>
      </c>
      <c r="D4" s="9" t="s">
        <v>18</v>
      </c>
      <c r="E4" s="55" t="s">
        <v>11</v>
      </c>
      <c r="F4" s="55" t="s">
        <v>12</v>
      </c>
      <c r="G4" s="43">
        <v>291577</v>
      </c>
      <c r="H4" s="9" t="s">
        <v>13</v>
      </c>
      <c r="I4" s="68" t="s">
        <v>14</v>
      </c>
    </row>
    <row r="5" spans="1:9" ht="16.5" customHeight="1">
      <c r="A5" s="55" t="s">
        <v>8</v>
      </c>
      <c r="B5" s="55" t="s">
        <v>181</v>
      </c>
      <c r="C5" s="56">
        <v>3541</v>
      </c>
      <c r="D5" s="55" t="s">
        <v>16</v>
      </c>
      <c r="E5" s="55" t="s">
        <v>11</v>
      </c>
      <c r="F5" s="55" t="s">
        <v>12</v>
      </c>
      <c r="G5" s="91">
        <v>179690</v>
      </c>
      <c r="H5" s="9" t="s">
        <v>13</v>
      </c>
      <c r="I5" s="68" t="s">
        <v>17</v>
      </c>
    </row>
    <row r="6" spans="1:9" ht="16.5" customHeight="1">
      <c r="A6" s="19" t="s">
        <v>8</v>
      </c>
      <c r="B6" s="19" t="s">
        <v>181</v>
      </c>
      <c r="C6" s="20">
        <v>3446</v>
      </c>
      <c r="D6" s="19" t="s">
        <v>19</v>
      </c>
      <c r="E6" s="19" t="s">
        <v>20</v>
      </c>
      <c r="F6" s="19" t="s">
        <v>12</v>
      </c>
      <c r="G6" s="46">
        <v>230230</v>
      </c>
      <c r="H6" s="19" t="s">
        <v>21</v>
      </c>
      <c r="I6" s="85"/>
    </row>
    <row r="7" spans="1:9" ht="16.5" customHeight="1">
      <c r="A7" s="19" t="s">
        <v>8</v>
      </c>
      <c r="B7" s="19" t="s">
        <v>181</v>
      </c>
      <c r="C7" s="20">
        <v>3515</v>
      </c>
      <c r="D7" s="19" t="s">
        <v>22</v>
      </c>
      <c r="E7" s="19" t="s">
        <v>20</v>
      </c>
      <c r="F7" s="19" t="s">
        <v>12</v>
      </c>
      <c r="G7" s="46">
        <v>250708</v>
      </c>
      <c r="H7" s="19" t="s">
        <v>21</v>
      </c>
      <c r="I7" s="85"/>
    </row>
    <row r="8" spans="1:9" ht="16.5" customHeight="1">
      <c r="A8" s="19" t="s">
        <v>8</v>
      </c>
      <c r="B8" s="19" t="s">
        <v>181</v>
      </c>
      <c r="C8" s="20">
        <v>3497</v>
      </c>
      <c r="D8" s="19" t="s">
        <v>23</v>
      </c>
      <c r="E8" s="19" t="s">
        <v>20</v>
      </c>
      <c r="F8" s="19" t="s">
        <v>12</v>
      </c>
      <c r="G8" s="46">
        <v>8800</v>
      </c>
      <c r="H8" s="19" t="s">
        <v>21</v>
      </c>
      <c r="I8" s="85"/>
    </row>
    <row r="9" spans="1:9" ht="16.5" customHeight="1">
      <c r="A9" s="19" t="s">
        <v>8</v>
      </c>
      <c r="B9" s="19" t="s">
        <v>181</v>
      </c>
      <c r="C9" s="20">
        <v>3375</v>
      </c>
      <c r="D9" s="19" t="s">
        <v>24</v>
      </c>
      <c r="E9" s="19" t="s">
        <v>20</v>
      </c>
      <c r="F9" s="19" t="s">
        <v>12</v>
      </c>
      <c r="G9" s="46">
        <v>1866</v>
      </c>
      <c r="H9" s="19" t="s">
        <v>21</v>
      </c>
      <c r="I9" s="85"/>
    </row>
    <row r="10" spans="1:9" ht="16.5" customHeight="1">
      <c r="A10" s="19" t="s">
        <v>8</v>
      </c>
      <c r="B10" s="19" t="s">
        <v>181</v>
      </c>
      <c r="C10" s="20">
        <v>3092</v>
      </c>
      <c r="D10" s="19" t="s">
        <v>25</v>
      </c>
      <c r="E10" s="19" t="s">
        <v>20</v>
      </c>
      <c r="F10" s="19" t="s">
        <v>12</v>
      </c>
      <c r="G10" s="46">
        <v>17022.900000000001</v>
      </c>
      <c r="H10" s="19" t="s">
        <v>21</v>
      </c>
      <c r="I10" s="85"/>
    </row>
    <row r="11" spans="1:9" ht="16.5" customHeight="1">
      <c r="A11" s="15" t="s">
        <v>8</v>
      </c>
      <c r="B11" s="15" t="s">
        <v>181</v>
      </c>
      <c r="C11" s="16">
        <v>3589</v>
      </c>
      <c r="D11" s="15" t="s">
        <v>26</v>
      </c>
      <c r="E11" s="15" t="s">
        <v>11</v>
      </c>
      <c r="F11" s="15" t="s">
        <v>12</v>
      </c>
      <c r="G11" s="69">
        <v>40000</v>
      </c>
      <c r="H11" s="15" t="s">
        <v>27</v>
      </c>
      <c r="I11" s="86"/>
    </row>
    <row r="12" spans="1:9" ht="16.5" customHeight="1" thickBot="1">
      <c r="A12" s="79" t="s">
        <v>8</v>
      </c>
      <c r="B12" s="79" t="s">
        <v>181</v>
      </c>
      <c r="C12" s="80">
        <v>3566</v>
      </c>
      <c r="D12" s="79" t="s">
        <v>28</v>
      </c>
      <c r="E12" s="79" t="s">
        <v>11</v>
      </c>
      <c r="F12" s="79"/>
      <c r="G12" s="92"/>
      <c r="H12" s="79" t="s">
        <v>27</v>
      </c>
      <c r="I12" s="87"/>
    </row>
    <row r="13" spans="1:9" ht="16.5" customHeight="1" thickBot="1">
      <c r="G13" s="84">
        <f>SUM(G2:G4)</f>
        <v>582646</v>
      </c>
    </row>
    <row r="15" spans="1:9" ht="16.5" customHeight="1">
      <c r="A15" s="9" t="s">
        <v>29</v>
      </c>
      <c r="B15" s="9" t="s">
        <v>34</v>
      </c>
      <c r="C15" s="11">
        <v>3539</v>
      </c>
      <c r="D15" s="12" t="s">
        <v>30</v>
      </c>
      <c r="E15" s="9" t="s">
        <v>11</v>
      </c>
      <c r="F15" s="9" t="s">
        <v>12</v>
      </c>
      <c r="G15" s="43">
        <v>124052</v>
      </c>
      <c r="H15" s="9" t="s">
        <v>13</v>
      </c>
      <c r="I15" s="68"/>
    </row>
    <row r="16" spans="1:9" ht="16.5" customHeight="1">
      <c r="A16" s="9" t="s">
        <v>29</v>
      </c>
      <c r="B16" s="9" t="s">
        <v>34</v>
      </c>
      <c r="C16" s="13">
        <v>3490</v>
      </c>
      <c r="D16" s="14" t="s">
        <v>31</v>
      </c>
      <c r="E16" s="9" t="s">
        <v>11</v>
      </c>
      <c r="F16" s="9" t="s">
        <v>12</v>
      </c>
      <c r="G16" s="44">
        <v>54207.3</v>
      </c>
      <c r="H16" s="9" t="s">
        <v>13</v>
      </c>
      <c r="I16" s="68"/>
    </row>
    <row r="17" spans="1:9" ht="16.5" customHeight="1">
      <c r="A17" s="9" t="s">
        <v>29</v>
      </c>
      <c r="B17" s="9" t="s">
        <v>34</v>
      </c>
      <c r="C17" s="13" t="s">
        <v>32</v>
      </c>
      <c r="D17" s="14" t="s">
        <v>33</v>
      </c>
      <c r="E17" s="9" t="s">
        <v>11</v>
      </c>
      <c r="F17" s="9" t="s">
        <v>12</v>
      </c>
      <c r="G17" s="45">
        <v>6068.76</v>
      </c>
      <c r="H17" s="9" t="s">
        <v>13</v>
      </c>
      <c r="I17" s="68"/>
    </row>
    <row r="18" spans="1:9" ht="16.5" customHeight="1">
      <c r="A18" s="9" t="s">
        <v>29</v>
      </c>
      <c r="B18" s="9" t="s">
        <v>34</v>
      </c>
      <c r="C18" s="13">
        <v>3325</v>
      </c>
      <c r="D18" s="14" t="s">
        <v>35</v>
      </c>
      <c r="E18" s="9" t="s">
        <v>20</v>
      </c>
      <c r="F18" s="9" t="s">
        <v>12</v>
      </c>
      <c r="G18" s="45">
        <v>37718</v>
      </c>
      <c r="H18" s="9" t="s">
        <v>13</v>
      </c>
      <c r="I18" s="68"/>
    </row>
    <row r="19" spans="1:9" ht="16.5" customHeight="1">
      <c r="A19" s="9" t="s">
        <v>29</v>
      </c>
      <c r="B19" s="9" t="s">
        <v>34</v>
      </c>
      <c r="C19" s="10">
        <v>3615</v>
      </c>
      <c r="D19" s="9" t="s">
        <v>42</v>
      </c>
      <c r="E19" s="9" t="s">
        <v>11</v>
      </c>
      <c r="F19" s="9" t="s">
        <v>12</v>
      </c>
      <c r="G19" s="43">
        <v>42000</v>
      </c>
      <c r="H19" s="9" t="s">
        <v>13</v>
      </c>
      <c r="I19" s="68"/>
    </row>
    <row r="20" spans="1:9" ht="16.5" customHeight="1">
      <c r="A20" s="9" t="s">
        <v>29</v>
      </c>
      <c r="B20" s="9" t="s">
        <v>34</v>
      </c>
      <c r="C20" s="10">
        <v>2140</v>
      </c>
      <c r="D20" s="9" t="s">
        <v>43</v>
      </c>
      <c r="E20" s="9" t="s">
        <v>11</v>
      </c>
      <c r="F20" s="9" t="s">
        <v>12</v>
      </c>
      <c r="G20" s="43">
        <v>574000</v>
      </c>
      <c r="H20" s="9" t="s">
        <v>13</v>
      </c>
      <c r="I20" s="68"/>
    </row>
    <row r="21" spans="1:9" ht="16.5" customHeight="1">
      <c r="A21" s="9" t="s">
        <v>29</v>
      </c>
      <c r="B21" s="9" t="s">
        <v>34</v>
      </c>
      <c r="C21" s="10">
        <v>3672</v>
      </c>
      <c r="D21" s="9" t="s">
        <v>44</v>
      </c>
      <c r="E21" s="9" t="s">
        <v>11</v>
      </c>
      <c r="F21" s="9" t="s">
        <v>12</v>
      </c>
      <c r="G21" s="44">
        <v>41328.5</v>
      </c>
      <c r="H21" s="9" t="s">
        <v>13</v>
      </c>
      <c r="I21" s="68"/>
    </row>
    <row r="22" spans="1:9" ht="16.5" customHeight="1">
      <c r="A22" s="9" t="s">
        <v>29</v>
      </c>
      <c r="B22" s="9" t="s">
        <v>34</v>
      </c>
      <c r="C22" s="10">
        <v>3656</v>
      </c>
      <c r="D22" s="9" t="s">
        <v>47</v>
      </c>
      <c r="E22" s="9" t="s">
        <v>11</v>
      </c>
      <c r="F22" s="9" t="s">
        <v>12</v>
      </c>
      <c r="G22" s="43">
        <v>324367</v>
      </c>
      <c r="H22" s="9" t="s">
        <v>13</v>
      </c>
      <c r="I22" s="68"/>
    </row>
    <row r="23" spans="1:9" ht="16.5" customHeight="1">
      <c r="A23" s="9" t="s">
        <v>29</v>
      </c>
      <c r="B23" s="9" t="s">
        <v>34</v>
      </c>
      <c r="C23" s="10" t="s">
        <v>48</v>
      </c>
      <c r="D23" s="9" t="s">
        <v>49</v>
      </c>
      <c r="E23" s="9" t="s">
        <v>11</v>
      </c>
      <c r="F23" s="9" t="s">
        <v>12</v>
      </c>
      <c r="G23" s="43">
        <v>450000</v>
      </c>
      <c r="H23" s="9" t="s">
        <v>13</v>
      </c>
      <c r="I23" s="68"/>
    </row>
    <row r="24" spans="1:9" ht="16.5" customHeight="1">
      <c r="A24" s="9" t="s">
        <v>29</v>
      </c>
      <c r="B24" s="9" t="s">
        <v>34</v>
      </c>
      <c r="C24" s="10">
        <v>3743</v>
      </c>
      <c r="D24" s="9" t="s">
        <v>50</v>
      </c>
      <c r="E24" s="9" t="s">
        <v>11</v>
      </c>
      <c r="F24" s="9" t="s">
        <v>12</v>
      </c>
      <c r="G24" s="43"/>
      <c r="H24" s="9" t="s">
        <v>13</v>
      </c>
      <c r="I24" s="68"/>
    </row>
    <row r="25" spans="1:9" ht="16.5" customHeight="1">
      <c r="A25" s="9" t="s">
        <v>29</v>
      </c>
      <c r="B25" s="9" t="s">
        <v>34</v>
      </c>
      <c r="C25" s="10" t="s">
        <v>51</v>
      </c>
      <c r="D25" s="9" t="s">
        <v>52</v>
      </c>
      <c r="E25" s="9" t="s">
        <v>11</v>
      </c>
      <c r="F25" s="9" t="s">
        <v>12</v>
      </c>
      <c r="G25" s="43"/>
      <c r="H25" s="9" t="s">
        <v>13</v>
      </c>
      <c r="I25" s="68"/>
    </row>
    <row r="26" spans="1:9" ht="16.5" customHeight="1">
      <c r="A26" s="9" t="s">
        <v>29</v>
      </c>
      <c r="B26" s="9" t="s">
        <v>34</v>
      </c>
      <c r="C26" s="10">
        <v>2730</v>
      </c>
      <c r="D26" s="9" t="s">
        <v>56</v>
      </c>
      <c r="E26" s="9" t="s">
        <v>20</v>
      </c>
      <c r="F26" s="9" t="s">
        <v>12</v>
      </c>
      <c r="G26" s="43">
        <v>18900</v>
      </c>
      <c r="H26" s="9" t="s">
        <v>13</v>
      </c>
      <c r="I26" s="68"/>
    </row>
    <row r="27" spans="1:9" ht="16.5" customHeight="1">
      <c r="A27" s="9" t="s">
        <v>29</v>
      </c>
      <c r="B27" s="9" t="s">
        <v>34</v>
      </c>
      <c r="C27" s="10">
        <v>3793</v>
      </c>
      <c r="D27" s="9" t="s">
        <v>57</v>
      </c>
      <c r="E27" s="9" t="s">
        <v>11</v>
      </c>
      <c r="F27" s="9" t="s">
        <v>12</v>
      </c>
      <c r="G27" s="43"/>
      <c r="H27" s="9" t="s">
        <v>13</v>
      </c>
      <c r="I27" s="68"/>
    </row>
    <row r="28" spans="1:9" ht="16.5" customHeight="1">
      <c r="A28" s="9" t="s">
        <v>29</v>
      </c>
      <c r="B28" s="9" t="s">
        <v>34</v>
      </c>
      <c r="C28" s="10">
        <v>3792</v>
      </c>
      <c r="D28" s="9" t="s">
        <v>55</v>
      </c>
      <c r="E28" s="9" t="s">
        <v>11</v>
      </c>
      <c r="F28" s="9" t="s">
        <v>12</v>
      </c>
      <c r="G28" s="43">
        <v>53000000</v>
      </c>
      <c r="H28" s="9" t="s">
        <v>13</v>
      </c>
      <c r="I28" s="68"/>
    </row>
    <row r="29" spans="1:9" ht="16.5" customHeight="1">
      <c r="A29" s="65" t="s">
        <v>29</v>
      </c>
      <c r="B29" s="65" t="s">
        <v>34</v>
      </c>
      <c r="C29" s="66">
        <v>3626</v>
      </c>
      <c r="D29" s="65" t="s">
        <v>45</v>
      </c>
      <c r="E29" s="65" t="s">
        <v>11</v>
      </c>
      <c r="F29" s="65" t="s">
        <v>12</v>
      </c>
      <c r="G29" s="67"/>
      <c r="H29" s="65" t="s">
        <v>13</v>
      </c>
      <c r="I29" s="70"/>
    </row>
    <row r="30" spans="1:9" ht="16.5" customHeight="1">
      <c r="A30" s="61" t="s">
        <v>29</v>
      </c>
      <c r="B30" s="61" t="s">
        <v>34</v>
      </c>
      <c r="C30" s="62">
        <v>2856</v>
      </c>
      <c r="D30" s="63" t="s">
        <v>36</v>
      </c>
      <c r="E30" s="61" t="s">
        <v>20</v>
      </c>
      <c r="F30" s="61" t="s">
        <v>12</v>
      </c>
      <c r="G30" s="64"/>
      <c r="H30" s="19" t="s">
        <v>21</v>
      </c>
      <c r="I30" s="57"/>
    </row>
    <row r="31" spans="1:9" ht="16.5" customHeight="1">
      <c r="A31" s="19" t="s">
        <v>29</v>
      </c>
      <c r="B31" s="19" t="s">
        <v>34</v>
      </c>
      <c r="C31" s="29"/>
      <c r="D31" s="22" t="s">
        <v>37</v>
      </c>
      <c r="E31" s="19" t="s">
        <v>11</v>
      </c>
      <c r="F31" s="19" t="s">
        <v>12</v>
      </c>
      <c r="G31" s="46"/>
      <c r="H31" s="19" t="s">
        <v>21</v>
      </c>
      <c r="I31" s="57"/>
    </row>
    <row r="32" spans="1:9" ht="16.5" customHeight="1">
      <c r="A32" s="19" t="s">
        <v>29</v>
      </c>
      <c r="B32" s="19" t="s">
        <v>34</v>
      </c>
      <c r="C32" s="20">
        <v>3554</v>
      </c>
      <c r="D32" s="19" t="s">
        <v>38</v>
      </c>
      <c r="E32" s="19" t="s">
        <v>11</v>
      </c>
      <c r="F32" s="19" t="s">
        <v>12</v>
      </c>
      <c r="G32" s="46"/>
      <c r="H32" s="19" t="s">
        <v>21</v>
      </c>
      <c r="I32" s="57"/>
    </row>
    <row r="33" spans="1:9" ht="16.5" customHeight="1">
      <c r="A33" s="19" t="s">
        <v>29</v>
      </c>
      <c r="B33" s="19" t="s">
        <v>34</v>
      </c>
      <c r="C33" s="21">
        <v>3190</v>
      </c>
      <c r="D33" s="37" t="s">
        <v>39</v>
      </c>
      <c r="E33" s="19" t="s">
        <v>20</v>
      </c>
      <c r="F33" s="19" t="s">
        <v>12</v>
      </c>
      <c r="G33" s="46"/>
      <c r="H33" s="19" t="s">
        <v>21</v>
      </c>
      <c r="I33" s="57"/>
    </row>
    <row r="34" spans="1:9" ht="16.5" customHeight="1">
      <c r="A34" s="19" t="s">
        <v>29</v>
      </c>
      <c r="B34" s="19" t="s">
        <v>34</v>
      </c>
      <c r="C34" s="20">
        <v>3199</v>
      </c>
      <c r="D34" s="39" t="s">
        <v>40</v>
      </c>
      <c r="E34" s="19" t="s">
        <v>20</v>
      </c>
      <c r="F34" s="19" t="s">
        <v>12</v>
      </c>
      <c r="G34" s="46">
        <v>146961</v>
      </c>
      <c r="H34" s="19" t="s">
        <v>21</v>
      </c>
      <c r="I34" s="57"/>
    </row>
    <row r="35" spans="1:9" ht="16.5" customHeight="1">
      <c r="A35" s="19" t="s">
        <v>29</v>
      </c>
      <c r="B35" s="19" t="s">
        <v>34</v>
      </c>
      <c r="C35" s="20">
        <v>3594</v>
      </c>
      <c r="D35" s="19" t="s">
        <v>41</v>
      </c>
      <c r="E35" s="19" t="s">
        <v>11</v>
      </c>
      <c r="F35" s="19" t="s">
        <v>12</v>
      </c>
      <c r="G35" s="46"/>
      <c r="H35" s="19" t="s">
        <v>21</v>
      </c>
      <c r="I35" s="57"/>
    </row>
    <row r="36" spans="1:9" ht="16.5" customHeight="1">
      <c r="A36" s="19" t="s">
        <v>29</v>
      </c>
      <c r="B36" s="19" t="s">
        <v>34</v>
      </c>
      <c r="C36" s="20">
        <v>2856</v>
      </c>
      <c r="D36" s="19" t="s">
        <v>46</v>
      </c>
      <c r="E36" s="19" t="s">
        <v>20</v>
      </c>
      <c r="F36" s="19" t="s">
        <v>12</v>
      </c>
      <c r="G36" s="46"/>
      <c r="H36" s="19" t="s">
        <v>21</v>
      </c>
      <c r="I36" s="57"/>
    </row>
    <row r="37" spans="1:9" ht="16.5" customHeight="1" thickBot="1">
      <c r="A37" s="15" t="s">
        <v>29</v>
      </c>
      <c r="B37" s="15" t="s">
        <v>34</v>
      </c>
      <c r="C37" s="16" t="s">
        <v>53</v>
      </c>
      <c r="D37" s="15" t="s">
        <v>54</v>
      </c>
      <c r="E37" s="15" t="s">
        <v>11</v>
      </c>
      <c r="F37" s="15" t="s">
        <v>12</v>
      </c>
      <c r="G37" s="69"/>
      <c r="H37" s="30" t="s">
        <v>27</v>
      </c>
      <c r="I37" s="60"/>
    </row>
    <row r="38" spans="1:9" ht="16.5" customHeight="1" thickBot="1">
      <c r="C38" s="6"/>
      <c r="D38" s="3"/>
      <c r="G38" s="84">
        <f>SUM(G15:G27)</f>
        <v>1672641.56</v>
      </c>
    </row>
    <row r="40" spans="1:9" ht="16.5" customHeight="1">
      <c r="A40" s="9" t="s">
        <v>58</v>
      </c>
      <c r="B40" s="9" t="s">
        <v>179</v>
      </c>
      <c r="C40" s="13">
        <v>3445</v>
      </c>
      <c r="D40" s="14" t="s">
        <v>59</v>
      </c>
      <c r="E40" s="9" t="s">
        <v>20</v>
      </c>
      <c r="F40" s="9" t="s">
        <v>12</v>
      </c>
      <c r="G40" s="43">
        <v>169105</v>
      </c>
      <c r="H40" s="9" t="s">
        <v>13</v>
      </c>
      <c r="I40" s="40" t="s">
        <v>14</v>
      </c>
    </row>
    <row r="41" spans="1:9" ht="16.5" customHeight="1">
      <c r="A41" s="9" t="s">
        <v>58</v>
      </c>
      <c r="B41" s="9" t="s">
        <v>180</v>
      </c>
      <c r="C41" s="13">
        <v>3574</v>
      </c>
      <c r="D41" s="14" t="s">
        <v>60</v>
      </c>
      <c r="E41" s="9" t="s">
        <v>11</v>
      </c>
      <c r="F41" s="9" t="s">
        <v>12</v>
      </c>
      <c r="G41" s="43">
        <v>79055.399999999994</v>
      </c>
      <c r="H41" s="9" t="s">
        <v>13</v>
      </c>
      <c r="I41" s="40" t="s">
        <v>14</v>
      </c>
    </row>
    <row r="42" spans="1:9" ht="16.5" customHeight="1">
      <c r="A42" s="9" t="s">
        <v>58</v>
      </c>
      <c r="B42" s="9" t="s">
        <v>180</v>
      </c>
      <c r="C42" s="10">
        <v>3618</v>
      </c>
      <c r="D42" s="17" t="s">
        <v>61</v>
      </c>
      <c r="E42" s="9" t="s">
        <v>11</v>
      </c>
      <c r="F42" s="9" t="s">
        <v>12</v>
      </c>
      <c r="G42" s="43">
        <v>30680</v>
      </c>
      <c r="H42" s="9" t="s">
        <v>13</v>
      </c>
      <c r="I42" s="40" t="s">
        <v>14</v>
      </c>
    </row>
    <row r="43" spans="1:9" ht="16.5" customHeight="1">
      <c r="A43" s="9" t="s">
        <v>58</v>
      </c>
      <c r="B43" s="9" t="s">
        <v>180</v>
      </c>
      <c r="C43" s="10">
        <v>3629</v>
      </c>
      <c r="D43" s="17" t="s">
        <v>65</v>
      </c>
      <c r="E43" s="9" t="s">
        <v>11</v>
      </c>
      <c r="F43" s="9" t="s">
        <v>12</v>
      </c>
      <c r="G43" s="43">
        <v>19199</v>
      </c>
      <c r="H43" s="9" t="s">
        <v>13</v>
      </c>
      <c r="I43" s="40" t="s">
        <v>14</v>
      </c>
    </row>
    <row r="44" spans="1:9" ht="16.5" customHeight="1">
      <c r="A44" s="48" t="s">
        <v>58</v>
      </c>
      <c r="B44" s="48" t="s">
        <v>180</v>
      </c>
      <c r="C44" s="51">
        <v>3701</v>
      </c>
      <c r="D44" s="75" t="s">
        <v>75</v>
      </c>
      <c r="E44" s="48" t="s">
        <v>11</v>
      </c>
      <c r="F44" s="48" t="s">
        <v>12</v>
      </c>
      <c r="G44" s="93" t="s">
        <v>178</v>
      </c>
      <c r="H44" s="48" t="s">
        <v>13</v>
      </c>
      <c r="I44" s="40" t="s">
        <v>14</v>
      </c>
    </row>
    <row r="45" spans="1:9" ht="16.5" customHeight="1">
      <c r="A45" s="32" t="s">
        <v>58</v>
      </c>
      <c r="B45" s="9" t="s">
        <v>180</v>
      </c>
      <c r="C45" s="35">
        <v>3613</v>
      </c>
      <c r="D45" s="36" t="s">
        <v>76</v>
      </c>
      <c r="E45" s="32" t="s">
        <v>11</v>
      </c>
      <c r="F45" s="32" t="s">
        <v>12</v>
      </c>
      <c r="G45" s="93">
        <v>1400000</v>
      </c>
      <c r="H45" s="32" t="s">
        <v>13</v>
      </c>
      <c r="I45" s="40" t="s">
        <v>14</v>
      </c>
    </row>
    <row r="46" spans="1:9" ht="16.5" customHeight="1">
      <c r="A46" s="32" t="s">
        <v>58</v>
      </c>
      <c r="B46" s="9" t="s">
        <v>180</v>
      </c>
      <c r="C46" s="35">
        <v>3704</v>
      </c>
      <c r="D46" s="36" t="s">
        <v>70</v>
      </c>
      <c r="E46" s="32" t="s">
        <v>11</v>
      </c>
      <c r="F46" s="32" t="s">
        <v>12</v>
      </c>
      <c r="G46" s="93">
        <v>2830</v>
      </c>
      <c r="H46" s="32" t="s">
        <v>13</v>
      </c>
      <c r="I46" s="40" t="s">
        <v>71</v>
      </c>
    </row>
    <row r="47" spans="1:9" ht="16.5" customHeight="1">
      <c r="A47" s="19" t="s">
        <v>58</v>
      </c>
      <c r="B47" s="9" t="s">
        <v>180</v>
      </c>
      <c r="C47" s="20">
        <v>2926</v>
      </c>
      <c r="D47" s="19" t="s">
        <v>64</v>
      </c>
      <c r="E47" s="19" t="s">
        <v>20</v>
      </c>
      <c r="F47" s="19" t="s">
        <v>12</v>
      </c>
      <c r="G47" s="46">
        <v>484</v>
      </c>
      <c r="H47" s="19" t="s">
        <v>21</v>
      </c>
      <c r="I47" s="57"/>
    </row>
    <row r="48" spans="1:9" ht="16.5" customHeight="1">
      <c r="A48" s="19" t="s">
        <v>58</v>
      </c>
      <c r="B48" s="9" t="s">
        <v>180</v>
      </c>
      <c r="C48" s="20" t="s">
        <v>66</v>
      </c>
      <c r="D48" s="39" t="s">
        <v>67</v>
      </c>
      <c r="E48" s="19" t="s">
        <v>11</v>
      </c>
      <c r="F48" s="19" t="s">
        <v>12</v>
      </c>
      <c r="G48" s="46">
        <v>136.43299999999999</v>
      </c>
      <c r="H48" s="19" t="s">
        <v>21</v>
      </c>
      <c r="I48" s="57"/>
    </row>
    <row r="49" spans="1:9" ht="16.5" customHeight="1">
      <c r="A49" s="15" t="s">
        <v>58</v>
      </c>
      <c r="B49" s="15" t="s">
        <v>180</v>
      </c>
      <c r="C49" s="16">
        <v>3590</v>
      </c>
      <c r="D49" s="18" t="s">
        <v>62</v>
      </c>
      <c r="E49" s="15" t="s">
        <v>11</v>
      </c>
      <c r="F49" s="15" t="s">
        <v>12</v>
      </c>
      <c r="G49" s="69">
        <v>115745</v>
      </c>
      <c r="H49" s="15" t="s">
        <v>27</v>
      </c>
      <c r="I49" s="59"/>
    </row>
    <row r="50" spans="1:9" ht="16.5" customHeight="1">
      <c r="A50" s="15" t="s">
        <v>58</v>
      </c>
      <c r="B50" s="15" t="s">
        <v>180</v>
      </c>
      <c r="C50" s="16">
        <v>3649</v>
      </c>
      <c r="D50" s="18" t="s">
        <v>63</v>
      </c>
      <c r="E50" s="15" t="s">
        <v>11</v>
      </c>
      <c r="F50" s="15" t="s">
        <v>12</v>
      </c>
      <c r="G50" s="69">
        <v>111199</v>
      </c>
      <c r="H50" s="15" t="s">
        <v>27</v>
      </c>
      <c r="I50" s="59"/>
    </row>
    <row r="51" spans="1:9" ht="16.5" customHeight="1">
      <c r="A51" s="15" t="s">
        <v>58</v>
      </c>
      <c r="B51" s="15" t="s">
        <v>180</v>
      </c>
      <c r="C51" s="16">
        <v>2724</v>
      </c>
      <c r="D51" s="18" t="s">
        <v>68</v>
      </c>
      <c r="E51" s="15"/>
      <c r="F51" s="15"/>
      <c r="G51" s="69"/>
      <c r="H51" s="15" t="s">
        <v>27</v>
      </c>
      <c r="I51" s="59"/>
    </row>
    <row r="52" spans="1:9" ht="16.5" customHeight="1">
      <c r="A52" s="30" t="s">
        <v>58</v>
      </c>
      <c r="B52" s="15" t="s">
        <v>180</v>
      </c>
      <c r="C52" s="97">
        <v>3733</v>
      </c>
      <c r="D52" s="30" t="s">
        <v>69</v>
      </c>
      <c r="E52" s="30" t="s">
        <v>11</v>
      </c>
      <c r="F52" s="30" t="s">
        <v>12</v>
      </c>
      <c r="G52" s="69">
        <v>20611400</v>
      </c>
      <c r="H52" s="30" t="s">
        <v>27</v>
      </c>
      <c r="I52" s="60"/>
    </row>
    <row r="53" spans="1:9" ht="16.5" customHeight="1">
      <c r="A53" s="74" t="s">
        <v>58</v>
      </c>
      <c r="B53" s="15" t="s">
        <v>180</v>
      </c>
      <c r="C53" s="16" t="s">
        <v>72</v>
      </c>
      <c r="D53" s="18" t="s">
        <v>73</v>
      </c>
      <c r="E53" s="15" t="s">
        <v>11</v>
      </c>
      <c r="F53" s="15" t="s">
        <v>12</v>
      </c>
      <c r="G53" s="69">
        <v>10564</v>
      </c>
      <c r="H53" s="15" t="s">
        <v>27</v>
      </c>
      <c r="I53" s="59"/>
    </row>
    <row r="54" spans="1:9" ht="16.5" customHeight="1" thickBot="1">
      <c r="A54" s="15" t="s">
        <v>58</v>
      </c>
      <c r="B54" s="15" t="s">
        <v>180</v>
      </c>
      <c r="C54" s="16">
        <v>3574</v>
      </c>
      <c r="D54" s="18" t="s">
        <v>74</v>
      </c>
      <c r="E54" s="15" t="s">
        <v>11</v>
      </c>
      <c r="F54" s="15" t="s">
        <v>12</v>
      </c>
      <c r="G54" s="69"/>
      <c r="H54" s="15" t="s">
        <v>27</v>
      </c>
      <c r="I54" s="59"/>
    </row>
    <row r="55" spans="1:9" ht="16.5" customHeight="1" thickBot="1">
      <c r="D55" s="5"/>
      <c r="G55" s="84">
        <f>SUM(G40:G45)</f>
        <v>1698039.4</v>
      </c>
    </row>
    <row r="56" spans="1:9" ht="16.5" customHeight="1">
      <c r="D56" s="5"/>
    </row>
    <row r="57" spans="1:9" ht="16.5" customHeight="1">
      <c r="A57" s="9" t="s">
        <v>77</v>
      </c>
      <c r="B57" s="9" t="s">
        <v>79</v>
      </c>
      <c r="C57" s="1">
        <v>3552</v>
      </c>
      <c r="D57" s="34" t="s">
        <v>80</v>
      </c>
      <c r="E57" s="9" t="s">
        <v>11</v>
      </c>
      <c r="F57" s="9" t="s">
        <v>12</v>
      </c>
      <c r="G57" s="43">
        <v>460609.92</v>
      </c>
      <c r="H57" s="9" t="s">
        <v>13</v>
      </c>
      <c r="I57" s="68" t="s">
        <v>81</v>
      </c>
    </row>
    <row r="58" spans="1:9" ht="16.5" customHeight="1">
      <c r="A58" s="32" t="s">
        <v>77</v>
      </c>
      <c r="B58" s="32" t="s">
        <v>79</v>
      </c>
      <c r="C58" s="33">
        <v>3551</v>
      </c>
      <c r="D58" s="34" t="s">
        <v>83</v>
      </c>
      <c r="E58" s="32" t="s">
        <v>11</v>
      </c>
      <c r="F58" s="32" t="s">
        <v>12</v>
      </c>
      <c r="G58" s="93">
        <v>90000</v>
      </c>
      <c r="H58" s="9" t="s">
        <v>13</v>
      </c>
      <c r="I58" s="40" t="s">
        <v>14</v>
      </c>
    </row>
    <row r="59" spans="1:9" ht="16.5" customHeight="1">
      <c r="A59" s="9" t="s">
        <v>77</v>
      </c>
      <c r="B59" s="9" t="s">
        <v>79</v>
      </c>
      <c r="C59" s="10">
        <v>3699</v>
      </c>
      <c r="D59" s="14" t="s">
        <v>87</v>
      </c>
      <c r="E59" s="9" t="s">
        <v>11</v>
      </c>
      <c r="F59" s="9" t="s">
        <v>12</v>
      </c>
      <c r="G59" s="43">
        <v>451161</v>
      </c>
      <c r="H59" s="9" t="s">
        <v>13</v>
      </c>
      <c r="I59" s="40" t="s">
        <v>14</v>
      </c>
    </row>
    <row r="60" spans="1:9" ht="16.5" customHeight="1">
      <c r="A60" s="9" t="s">
        <v>77</v>
      </c>
      <c r="B60" s="9" t="s">
        <v>79</v>
      </c>
      <c r="C60" s="11">
        <v>3769</v>
      </c>
      <c r="D60" s="14" t="s">
        <v>90</v>
      </c>
      <c r="E60" s="9" t="s">
        <v>11</v>
      </c>
      <c r="F60" s="9" t="s">
        <v>12</v>
      </c>
      <c r="G60" s="43">
        <f>1083149+3480+3480+1050</f>
        <v>1091159</v>
      </c>
      <c r="H60" s="9" t="s">
        <v>13</v>
      </c>
      <c r="I60" s="40" t="s">
        <v>14</v>
      </c>
    </row>
    <row r="61" spans="1:9" ht="16.5" customHeight="1">
      <c r="A61" s="48" t="s">
        <v>77</v>
      </c>
      <c r="B61" s="32" t="s">
        <v>79</v>
      </c>
      <c r="C61" s="51">
        <v>3781</v>
      </c>
      <c r="D61" s="48" t="s">
        <v>98</v>
      </c>
      <c r="E61" s="48" t="s">
        <v>11</v>
      </c>
      <c r="F61" s="48" t="s">
        <v>12</v>
      </c>
      <c r="G61" s="94">
        <v>1314</v>
      </c>
      <c r="H61" s="48" t="s">
        <v>13</v>
      </c>
      <c r="I61" s="40" t="s">
        <v>14</v>
      </c>
    </row>
    <row r="62" spans="1:9" ht="16.5" customHeight="1">
      <c r="A62" s="48" t="s">
        <v>77</v>
      </c>
      <c r="B62" s="32" t="s">
        <v>79</v>
      </c>
      <c r="C62" s="49"/>
      <c r="D62" s="50" t="s">
        <v>100</v>
      </c>
      <c r="E62" s="48" t="s">
        <v>11</v>
      </c>
      <c r="F62" s="48" t="s">
        <v>12</v>
      </c>
      <c r="G62" s="94"/>
      <c r="H62" s="48" t="s">
        <v>13</v>
      </c>
      <c r="I62" s="40" t="s">
        <v>14</v>
      </c>
    </row>
    <row r="63" spans="1:9" ht="16.5" customHeight="1">
      <c r="A63" s="48" t="s">
        <v>77</v>
      </c>
      <c r="B63" s="32" t="s">
        <v>79</v>
      </c>
      <c r="C63" s="49">
        <v>3455</v>
      </c>
      <c r="D63" s="50" t="s">
        <v>99</v>
      </c>
      <c r="E63" s="48" t="s">
        <v>20</v>
      </c>
      <c r="F63" s="48" t="s">
        <v>12</v>
      </c>
      <c r="G63" s="94">
        <v>17075</v>
      </c>
      <c r="H63" s="48" t="s">
        <v>13</v>
      </c>
      <c r="I63" s="58" t="s">
        <v>17</v>
      </c>
    </row>
    <row r="64" spans="1:9" ht="16.5" customHeight="1">
      <c r="A64" s="9" t="s">
        <v>77</v>
      </c>
      <c r="B64" s="9" t="s">
        <v>79</v>
      </c>
      <c r="C64" s="1">
        <v>3524</v>
      </c>
      <c r="D64" s="9" t="s">
        <v>82</v>
      </c>
      <c r="E64" s="9" t="s">
        <v>20</v>
      </c>
      <c r="F64" s="9" t="s">
        <v>12</v>
      </c>
      <c r="G64" s="47">
        <f>2373.198+2641.893+1051.2189+859.1402+743.737+336.214+386.205</f>
        <v>8391.6061000000009</v>
      </c>
      <c r="H64" s="9" t="s">
        <v>13</v>
      </c>
      <c r="I64" s="2" t="s">
        <v>17</v>
      </c>
    </row>
    <row r="65" spans="1:9" ht="16.5" customHeight="1">
      <c r="A65" s="22" t="s">
        <v>77</v>
      </c>
      <c r="B65" s="22" t="s">
        <v>79</v>
      </c>
      <c r="C65" s="29">
        <v>3619</v>
      </c>
      <c r="D65" s="22" t="s">
        <v>86</v>
      </c>
      <c r="E65" s="22" t="s">
        <v>11</v>
      </c>
      <c r="F65" s="22" t="s">
        <v>12</v>
      </c>
      <c r="G65" s="95">
        <f>253.15+292+780+860+1700</f>
        <v>3885.15</v>
      </c>
      <c r="H65" s="22" t="s">
        <v>13</v>
      </c>
      <c r="I65" s="72"/>
    </row>
    <row r="66" spans="1:9" ht="16.5" customHeight="1">
      <c r="A66" s="15" t="s">
        <v>77</v>
      </c>
      <c r="B66" s="15" t="s">
        <v>79</v>
      </c>
      <c r="C66" s="16">
        <v>3681</v>
      </c>
      <c r="D66" s="15" t="s">
        <v>84</v>
      </c>
      <c r="E66" s="15" t="s">
        <v>11</v>
      </c>
      <c r="F66" s="15" t="s">
        <v>12</v>
      </c>
      <c r="G66" s="69">
        <v>154000</v>
      </c>
      <c r="H66" s="15" t="s">
        <v>27</v>
      </c>
      <c r="I66" s="59"/>
    </row>
    <row r="67" spans="1:9" ht="16.5" customHeight="1">
      <c r="A67" s="15" t="s">
        <v>77</v>
      </c>
      <c r="B67" s="15" t="s">
        <v>79</v>
      </c>
      <c r="C67" s="76">
        <v>3721</v>
      </c>
      <c r="D67" s="77" t="s">
        <v>88</v>
      </c>
      <c r="E67" s="15" t="s">
        <v>11</v>
      </c>
      <c r="F67" s="15" t="s">
        <v>12</v>
      </c>
      <c r="G67" s="69"/>
      <c r="H67" s="15" t="s">
        <v>27</v>
      </c>
      <c r="I67" s="88"/>
    </row>
    <row r="68" spans="1:9" ht="16.5" customHeight="1">
      <c r="A68" s="15" t="s">
        <v>77</v>
      </c>
      <c r="B68" s="15" t="s">
        <v>79</v>
      </c>
      <c r="C68" s="16">
        <v>3757</v>
      </c>
      <c r="D68" s="15" t="s">
        <v>89</v>
      </c>
      <c r="E68" s="15" t="s">
        <v>11</v>
      </c>
      <c r="F68" s="15" t="s">
        <v>12</v>
      </c>
      <c r="G68" s="69"/>
      <c r="H68" s="15" t="s">
        <v>27</v>
      </c>
      <c r="I68" s="59"/>
    </row>
    <row r="69" spans="1:9" ht="16.5" customHeight="1">
      <c r="A69" s="19" t="s">
        <v>77</v>
      </c>
      <c r="B69" s="19"/>
      <c r="C69" s="21" t="s">
        <v>91</v>
      </c>
      <c r="D69" s="22" t="s">
        <v>87</v>
      </c>
      <c r="E69" s="19" t="s">
        <v>11</v>
      </c>
      <c r="F69" s="19"/>
      <c r="G69" s="46" t="s">
        <v>92</v>
      </c>
      <c r="H69" s="19" t="s">
        <v>21</v>
      </c>
      <c r="I69" s="57"/>
    </row>
    <row r="70" spans="1:9" ht="16.5" customHeight="1">
      <c r="A70" s="19" t="s">
        <v>77</v>
      </c>
      <c r="B70" s="19" t="s">
        <v>79</v>
      </c>
      <c r="C70" s="20">
        <v>3548</v>
      </c>
      <c r="D70" s="19" t="s">
        <v>93</v>
      </c>
      <c r="E70" s="19" t="s">
        <v>11</v>
      </c>
      <c r="F70" s="19" t="s">
        <v>12</v>
      </c>
      <c r="G70" s="46"/>
      <c r="H70" s="19" t="s">
        <v>21</v>
      </c>
      <c r="I70" s="85"/>
    </row>
    <row r="71" spans="1:9" ht="16.5" customHeight="1">
      <c r="A71" s="19" t="s">
        <v>77</v>
      </c>
      <c r="B71" s="19" t="s">
        <v>79</v>
      </c>
      <c r="C71" s="21">
        <v>3543</v>
      </c>
      <c r="D71" s="22" t="s">
        <v>94</v>
      </c>
      <c r="E71" s="19" t="s">
        <v>11</v>
      </c>
      <c r="F71" s="19" t="s">
        <v>12</v>
      </c>
      <c r="G71" s="46">
        <v>1013</v>
      </c>
      <c r="H71" s="19" t="s">
        <v>21</v>
      </c>
      <c r="I71" s="57"/>
    </row>
    <row r="72" spans="1:9" ht="16.5" customHeight="1">
      <c r="A72" s="19" t="s">
        <v>77</v>
      </c>
      <c r="B72" s="19" t="s">
        <v>79</v>
      </c>
      <c r="C72" s="21">
        <v>3599</v>
      </c>
      <c r="D72" s="22" t="s">
        <v>95</v>
      </c>
      <c r="E72" s="19" t="s">
        <v>11</v>
      </c>
      <c r="F72" s="19" t="s">
        <v>12</v>
      </c>
      <c r="G72" s="46"/>
      <c r="H72" s="19" t="s">
        <v>21</v>
      </c>
      <c r="I72" s="85"/>
    </row>
    <row r="73" spans="1:9" ht="16.5" customHeight="1">
      <c r="A73" s="19" t="s">
        <v>77</v>
      </c>
      <c r="B73" s="19"/>
      <c r="C73" s="21" t="s">
        <v>96</v>
      </c>
      <c r="D73" s="22" t="s">
        <v>97</v>
      </c>
      <c r="E73" s="19" t="s">
        <v>20</v>
      </c>
      <c r="F73" s="19" t="s">
        <v>12</v>
      </c>
      <c r="G73" s="46"/>
      <c r="H73" s="19" t="s">
        <v>21</v>
      </c>
      <c r="I73" s="57"/>
    </row>
    <row r="74" spans="1:9" ht="16.5" customHeight="1" thickBot="1">
      <c r="A74" s="19" t="s">
        <v>77</v>
      </c>
      <c r="B74" s="19"/>
      <c r="C74" s="29">
        <v>3394</v>
      </c>
      <c r="D74" s="22" t="s">
        <v>78</v>
      </c>
      <c r="E74" s="19" t="s">
        <v>20</v>
      </c>
      <c r="F74" s="19" t="s">
        <v>12</v>
      </c>
      <c r="G74" s="46">
        <v>11625</v>
      </c>
      <c r="H74" s="19" t="s">
        <v>21</v>
      </c>
      <c r="I74" s="57"/>
    </row>
    <row r="75" spans="1:9" ht="16.5" customHeight="1" thickBot="1">
      <c r="C75" s="7"/>
      <c r="D75" s="4"/>
      <c r="G75" s="84">
        <f>SUM(G57:G64)</f>
        <v>2119710.5260999999</v>
      </c>
    </row>
    <row r="76" spans="1:9" ht="16.5" customHeight="1">
      <c r="C76" s="7"/>
      <c r="D76" s="4"/>
    </row>
    <row r="77" spans="1:9" ht="16.5" customHeight="1">
      <c r="A77" s="9" t="s">
        <v>85</v>
      </c>
      <c r="B77" s="9" t="s">
        <v>101</v>
      </c>
      <c r="C77" s="10">
        <v>3749</v>
      </c>
      <c r="D77" s="14" t="s">
        <v>102</v>
      </c>
      <c r="E77" s="9" t="s">
        <v>11</v>
      </c>
      <c r="F77" s="9" t="s">
        <v>12</v>
      </c>
      <c r="G77" s="43">
        <v>412254.02</v>
      </c>
      <c r="H77" s="9" t="s">
        <v>13</v>
      </c>
      <c r="I77" s="40" t="s">
        <v>14</v>
      </c>
    </row>
    <row r="78" spans="1:9" ht="16.5" customHeight="1">
      <c r="A78" s="9" t="s">
        <v>85</v>
      </c>
      <c r="B78" s="9" t="s">
        <v>101</v>
      </c>
      <c r="C78" s="10">
        <v>3708</v>
      </c>
      <c r="D78" s="14" t="s">
        <v>103</v>
      </c>
      <c r="E78" s="9" t="s">
        <v>11</v>
      </c>
      <c r="F78" s="9" t="s">
        <v>12</v>
      </c>
      <c r="G78" s="43">
        <v>1917.83</v>
      </c>
      <c r="H78" s="9" t="s">
        <v>13</v>
      </c>
      <c r="I78" s="40" t="s">
        <v>14</v>
      </c>
    </row>
    <row r="79" spans="1:9" ht="16.5" customHeight="1">
      <c r="A79" s="9" t="s">
        <v>85</v>
      </c>
      <c r="B79" s="9" t="s">
        <v>101</v>
      </c>
      <c r="C79" s="10">
        <v>3761</v>
      </c>
      <c r="D79" s="9" t="s">
        <v>104</v>
      </c>
      <c r="E79" s="9" t="s">
        <v>11</v>
      </c>
      <c r="F79" s="9" t="s">
        <v>12</v>
      </c>
      <c r="G79" s="43">
        <v>274282.27</v>
      </c>
      <c r="H79" s="9" t="s">
        <v>13</v>
      </c>
      <c r="I79" s="40" t="s">
        <v>14</v>
      </c>
    </row>
    <row r="80" spans="1:9" ht="16.5" customHeight="1">
      <c r="A80" s="9" t="s">
        <v>85</v>
      </c>
      <c r="B80" s="9" t="s">
        <v>101</v>
      </c>
      <c r="C80" s="10">
        <v>3821</v>
      </c>
      <c r="D80" s="9" t="s">
        <v>106</v>
      </c>
      <c r="E80" s="9" t="s">
        <v>11</v>
      </c>
      <c r="F80" s="9" t="s">
        <v>12</v>
      </c>
      <c r="G80" s="43" t="s">
        <v>107</v>
      </c>
      <c r="H80" s="9" t="s">
        <v>13</v>
      </c>
      <c r="I80" s="40" t="s">
        <v>14</v>
      </c>
    </row>
    <row r="81" spans="1:9" ht="16.5" customHeight="1" thickBot="1">
      <c r="A81" s="9" t="s">
        <v>85</v>
      </c>
      <c r="B81" s="9" t="s">
        <v>101</v>
      </c>
      <c r="C81" s="10">
        <v>3458</v>
      </c>
      <c r="D81" s="9" t="s">
        <v>105</v>
      </c>
      <c r="E81" s="9" t="s">
        <v>11</v>
      </c>
      <c r="F81" s="9" t="s">
        <v>12</v>
      </c>
      <c r="G81" s="43">
        <v>49761.37</v>
      </c>
      <c r="H81" s="9" t="s">
        <v>13</v>
      </c>
      <c r="I81" s="40" t="s">
        <v>17</v>
      </c>
    </row>
    <row r="82" spans="1:9" ht="16.5" customHeight="1" thickBot="1">
      <c r="A82" s="68"/>
      <c r="B82" s="68"/>
      <c r="C82" s="89"/>
      <c r="D82" s="68"/>
      <c r="E82" s="68"/>
      <c r="F82" s="68"/>
      <c r="G82" s="84">
        <f>SUM(G77:G80)</f>
        <v>688454.12000000011</v>
      </c>
      <c r="H82" s="68"/>
      <c r="I82" s="40"/>
    </row>
    <row r="83" spans="1:9" ht="16.5" customHeight="1">
      <c r="C83" s="7"/>
      <c r="D83" s="4"/>
    </row>
    <row r="84" spans="1:9" ht="16.5" customHeight="1">
      <c r="A84" s="9" t="s">
        <v>109</v>
      </c>
      <c r="B84" s="9" t="s">
        <v>110</v>
      </c>
      <c r="C84" s="10">
        <v>3653</v>
      </c>
      <c r="D84" s="9" t="s">
        <v>111</v>
      </c>
      <c r="E84" s="9" t="s">
        <v>11</v>
      </c>
      <c r="F84" s="9" t="s">
        <v>12</v>
      </c>
      <c r="G84" s="43">
        <v>200000</v>
      </c>
      <c r="H84" s="9" t="s">
        <v>13</v>
      </c>
      <c r="I84" s="68"/>
    </row>
    <row r="85" spans="1:9" ht="16.5" customHeight="1">
      <c r="A85" s="9" t="s">
        <v>109</v>
      </c>
      <c r="B85" s="9" t="s">
        <v>110</v>
      </c>
      <c r="C85" s="10">
        <v>3550</v>
      </c>
      <c r="D85" s="9" t="s">
        <v>112</v>
      </c>
      <c r="E85" s="9" t="s">
        <v>11</v>
      </c>
      <c r="F85" s="9" t="s">
        <v>12</v>
      </c>
      <c r="G85" s="43">
        <v>13000</v>
      </c>
      <c r="H85" s="9" t="s">
        <v>13</v>
      </c>
      <c r="I85" s="68"/>
    </row>
    <row r="86" spans="1:9" ht="16.5" customHeight="1">
      <c r="A86" s="9" t="s">
        <v>109</v>
      </c>
      <c r="B86" s="9" t="s">
        <v>110</v>
      </c>
      <c r="C86" s="10" t="s">
        <v>113</v>
      </c>
      <c r="D86" s="9" t="s">
        <v>114</v>
      </c>
      <c r="E86" s="9" t="s">
        <v>20</v>
      </c>
      <c r="F86" s="9" t="s">
        <v>12</v>
      </c>
      <c r="G86" s="43">
        <v>432000</v>
      </c>
      <c r="H86" s="9" t="s">
        <v>13</v>
      </c>
      <c r="I86" s="68"/>
    </row>
    <row r="87" spans="1:9" ht="16.5" customHeight="1">
      <c r="A87" s="9" t="s">
        <v>109</v>
      </c>
      <c r="B87" s="9" t="s">
        <v>110</v>
      </c>
      <c r="C87" s="10">
        <v>3032</v>
      </c>
      <c r="D87" s="9" t="s">
        <v>115</v>
      </c>
      <c r="E87" s="9" t="s">
        <v>20</v>
      </c>
      <c r="F87" s="9" t="s">
        <v>12</v>
      </c>
      <c r="G87" s="43">
        <v>240000</v>
      </c>
      <c r="H87" s="9" t="s">
        <v>13</v>
      </c>
      <c r="I87" s="68"/>
    </row>
    <row r="88" spans="1:9" ht="16.5" customHeight="1">
      <c r="A88" s="9" t="s">
        <v>109</v>
      </c>
      <c r="B88" s="9" t="s">
        <v>110</v>
      </c>
      <c r="C88" s="13" t="s">
        <v>122</v>
      </c>
      <c r="D88" s="23" t="s">
        <v>123</v>
      </c>
      <c r="E88" s="9" t="s">
        <v>11</v>
      </c>
      <c r="F88" s="9" t="s">
        <v>12</v>
      </c>
      <c r="G88" s="67">
        <v>23000000</v>
      </c>
      <c r="H88" s="9" t="s">
        <v>13</v>
      </c>
      <c r="I88" s="68"/>
    </row>
    <row r="89" spans="1:9" ht="16.5" customHeight="1">
      <c r="A89" s="9" t="s">
        <v>109</v>
      </c>
      <c r="B89" s="9" t="s">
        <v>110</v>
      </c>
      <c r="C89" s="13">
        <v>3809</v>
      </c>
      <c r="D89" s="23" t="s">
        <v>124</v>
      </c>
      <c r="E89" s="9" t="s">
        <v>11</v>
      </c>
      <c r="F89" s="9" t="s">
        <v>12</v>
      </c>
      <c r="G89" s="43"/>
      <c r="H89" s="9" t="s">
        <v>13</v>
      </c>
      <c r="I89" s="68"/>
    </row>
    <row r="90" spans="1:9" ht="16.5" customHeight="1">
      <c r="A90" s="9" t="s">
        <v>109</v>
      </c>
      <c r="B90" s="9" t="s">
        <v>110</v>
      </c>
      <c r="C90" s="13">
        <v>3664</v>
      </c>
      <c r="D90" s="23" t="s">
        <v>125</v>
      </c>
      <c r="E90" s="9" t="s">
        <v>11</v>
      </c>
      <c r="F90" s="9" t="s">
        <v>12</v>
      </c>
      <c r="G90" s="43">
        <v>52563</v>
      </c>
      <c r="H90" s="9" t="s">
        <v>13</v>
      </c>
      <c r="I90" s="68"/>
    </row>
    <row r="91" spans="1:9" ht="16.5" customHeight="1">
      <c r="A91" s="9" t="s">
        <v>109</v>
      </c>
      <c r="B91" s="9" t="s">
        <v>110</v>
      </c>
      <c r="C91" s="13">
        <v>3673</v>
      </c>
      <c r="D91" s="23" t="s">
        <v>127</v>
      </c>
      <c r="E91" s="9" t="s">
        <v>11</v>
      </c>
      <c r="F91" s="9" t="s">
        <v>12</v>
      </c>
      <c r="G91" s="82">
        <v>2100000</v>
      </c>
      <c r="H91" s="9" t="s">
        <v>13</v>
      </c>
      <c r="I91" s="40" t="s">
        <v>17</v>
      </c>
    </row>
    <row r="92" spans="1:9" ht="16.5" customHeight="1">
      <c r="A92" s="9" t="s">
        <v>109</v>
      </c>
      <c r="B92" s="9" t="s">
        <v>110</v>
      </c>
      <c r="C92" s="13">
        <v>3790</v>
      </c>
      <c r="D92" s="23" t="s">
        <v>126</v>
      </c>
      <c r="E92" s="9" t="s">
        <v>11</v>
      </c>
      <c r="F92" s="9" t="s">
        <v>12</v>
      </c>
      <c r="G92" s="43">
        <v>5030000</v>
      </c>
      <c r="H92" s="9" t="s">
        <v>13</v>
      </c>
      <c r="I92" s="68"/>
    </row>
    <row r="93" spans="1:9" ht="16.5" customHeight="1">
      <c r="A93" s="83" t="s">
        <v>109</v>
      </c>
      <c r="B93" s="83" t="s">
        <v>110</v>
      </c>
      <c r="C93" s="24">
        <v>3389</v>
      </c>
      <c r="D93" s="25" t="s">
        <v>128</v>
      </c>
      <c r="E93" s="15" t="s">
        <v>20</v>
      </c>
      <c r="F93" s="15" t="s">
        <v>12</v>
      </c>
      <c r="G93" s="69">
        <v>168000</v>
      </c>
      <c r="H93" s="15" t="s">
        <v>27</v>
      </c>
      <c r="I93" s="59"/>
    </row>
    <row r="94" spans="1:9" ht="16.5" customHeight="1">
      <c r="A94" s="15" t="s">
        <v>109</v>
      </c>
      <c r="B94" s="15" t="s">
        <v>110</v>
      </c>
      <c r="C94" s="16">
        <v>3444</v>
      </c>
      <c r="D94" s="15" t="s">
        <v>116</v>
      </c>
      <c r="E94" s="15" t="s">
        <v>20</v>
      </c>
      <c r="F94" s="15" t="s">
        <v>12</v>
      </c>
      <c r="G94" s="69">
        <v>450000</v>
      </c>
      <c r="H94" s="15" t="s">
        <v>27</v>
      </c>
    </row>
    <row r="95" spans="1:9" ht="16.5" customHeight="1">
      <c r="A95" s="19" t="s">
        <v>109</v>
      </c>
      <c r="B95" s="19" t="s">
        <v>110</v>
      </c>
      <c r="C95" s="20">
        <v>3693</v>
      </c>
      <c r="D95" s="19" t="s">
        <v>129</v>
      </c>
      <c r="E95" s="19" t="s">
        <v>11</v>
      </c>
      <c r="F95" s="19" t="s">
        <v>12</v>
      </c>
      <c r="G95" s="46">
        <v>2980</v>
      </c>
      <c r="H95" s="19" t="s">
        <v>21</v>
      </c>
    </row>
    <row r="96" spans="1:9" ht="16.5" customHeight="1">
      <c r="A96" s="19" t="s">
        <v>109</v>
      </c>
      <c r="B96" s="19" t="s">
        <v>110</v>
      </c>
      <c r="C96" s="20">
        <v>3141</v>
      </c>
      <c r="D96" s="19" t="s">
        <v>117</v>
      </c>
      <c r="E96" s="19" t="s">
        <v>20</v>
      </c>
      <c r="F96" s="19" t="s">
        <v>12</v>
      </c>
      <c r="G96" s="46"/>
      <c r="H96" s="19" t="s">
        <v>21</v>
      </c>
      <c r="I96" s="68"/>
    </row>
    <row r="97" spans="1:9" ht="16.5" customHeight="1">
      <c r="A97" s="19" t="s">
        <v>109</v>
      </c>
      <c r="B97" s="19" t="s">
        <v>110</v>
      </c>
      <c r="C97" s="20">
        <v>3608</v>
      </c>
      <c r="D97" s="19" t="s">
        <v>118</v>
      </c>
      <c r="E97" s="19" t="s">
        <v>20</v>
      </c>
      <c r="F97" s="19" t="s">
        <v>12</v>
      </c>
      <c r="G97" s="46"/>
      <c r="H97" s="19" t="s">
        <v>21</v>
      </c>
      <c r="I97" s="68"/>
    </row>
    <row r="98" spans="1:9" ht="16.5" customHeight="1">
      <c r="A98" s="31" t="s">
        <v>109</v>
      </c>
      <c r="B98" s="31" t="s">
        <v>110</v>
      </c>
      <c r="C98" s="20">
        <v>3485</v>
      </c>
      <c r="D98" s="31" t="s">
        <v>119</v>
      </c>
      <c r="E98" s="31" t="s">
        <v>20</v>
      </c>
      <c r="F98" s="31" t="s">
        <v>12</v>
      </c>
      <c r="G98" s="46"/>
      <c r="H98" s="19" t="s">
        <v>21</v>
      </c>
      <c r="I98" s="68"/>
    </row>
    <row r="99" spans="1:9" ht="16.5" customHeight="1">
      <c r="A99" s="31" t="s">
        <v>109</v>
      </c>
      <c r="B99" s="31" t="s">
        <v>110</v>
      </c>
      <c r="C99" s="20">
        <v>3347</v>
      </c>
      <c r="D99" s="31" t="s">
        <v>120</v>
      </c>
      <c r="E99" s="31" t="s">
        <v>20</v>
      </c>
      <c r="F99" s="31" t="s">
        <v>12</v>
      </c>
      <c r="G99" s="46">
        <v>181109</v>
      </c>
      <c r="H99" s="19" t="s">
        <v>21</v>
      </c>
      <c r="I99" s="59"/>
    </row>
    <row r="100" spans="1:9" ht="16.5" customHeight="1" thickBot="1">
      <c r="A100" s="31" t="s">
        <v>109</v>
      </c>
      <c r="B100" s="19" t="s">
        <v>110</v>
      </c>
      <c r="C100" s="20">
        <v>3666</v>
      </c>
      <c r="D100" s="19" t="s">
        <v>121</v>
      </c>
      <c r="E100" s="19" t="s">
        <v>11</v>
      </c>
      <c r="F100" s="19" t="s">
        <v>12</v>
      </c>
      <c r="G100" s="46"/>
      <c r="H100" s="19" t="s">
        <v>21</v>
      </c>
      <c r="I100" s="68"/>
    </row>
    <row r="101" spans="1:9" ht="16.5" customHeight="1" thickBot="1">
      <c r="G101" s="84">
        <f>SUM(G84:G91)</f>
        <v>26037563</v>
      </c>
    </row>
    <row r="102" spans="1:9" ht="16.5" customHeight="1">
      <c r="C102" s="6"/>
      <c r="D102" s="3"/>
    </row>
    <row r="103" spans="1:9" ht="16.5" customHeight="1">
      <c r="C103" s="6"/>
      <c r="D103" s="3"/>
    </row>
    <row r="104" spans="1:9" ht="16.5" customHeight="1">
      <c r="A104" s="32" t="s">
        <v>131</v>
      </c>
      <c r="B104" s="32" t="s">
        <v>132</v>
      </c>
      <c r="C104" s="35">
        <v>3568</v>
      </c>
      <c r="D104" s="32" t="s">
        <v>133</v>
      </c>
      <c r="E104" s="32" t="s">
        <v>11</v>
      </c>
      <c r="F104" s="32" t="s">
        <v>12</v>
      </c>
      <c r="G104" s="93">
        <v>136000</v>
      </c>
      <c r="H104" s="9" t="s">
        <v>13</v>
      </c>
      <c r="I104" s="68"/>
    </row>
    <row r="105" spans="1:9" ht="16.5" customHeight="1">
      <c r="A105" s="9" t="s">
        <v>131</v>
      </c>
      <c r="B105" s="9" t="s">
        <v>132</v>
      </c>
      <c r="C105" s="1">
        <v>3514</v>
      </c>
      <c r="D105" s="26" t="s">
        <v>134</v>
      </c>
      <c r="E105" s="9" t="s">
        <v>20</v>
      </c>
      <c r="F105" s="9" t="s">
        <v>12</v>
      </c>
      <c r="G105" s="38" t="s">
        <v>135</v>
      </c>
      <c r="H105" s="9" t="s">
        <v>13</v>
      </c>
      <c r="I105" s="68"/>
    </row>
    <row r="106" spans="1:9" ht="16.5" customHeight="1">
      <c r="A106" s="9" t="s">
        <v>131</v>
      </c>
      <c r="B106" s="9" t="s">
        <v>132</v>
      </c>
      <c r="C106" s="13">
        <v>3684</v>
      </c>
      <c r="D106" s="23" t="s">
        <v>140</v>
      </c>
      <c r="E106" s="9" t="s">
        <v>11</v>
      </c>
      <c r="F106" s="9" t="s">
        <v>12</v>
      </c>
      <c r="G106" s="38" t="s">
        <v>141</v>
      </c>
      <c r="H106" s="9" t="s">
        <v>13</v>
      </c>
      <c r="I106" s="68"/>
    </row>
    <row r="107" spans="1:9" ht="16.5" customHeight="1">
      <c r="A107" s="9" t="s">
        <v>131</v>
      </c>
      <c r="B107" s="9" t="s">
        <v>132</v>
      </c>
      <c r="C107" s="8">
        <v>3816</v>
      </c>
      <c r="D107" s="2" t="s">
        <v>155</v>
      </c>
      <c r="E107" s="48" t="s">
        <v>11</v>
      </c>
      <c r="F107" s="48" t="s">
        <v>12</v>
      </c>
      <c r="H107" s="2" t="s">
        <v>13</v>
      </c>
    </row>
    <row r="108" spans="1:9" ht="16.5" customHeight="1">
      <c r="A108" s="9" t="s">
        <v>131</v>
      </c>
      <c r="B108" s="9" t="s">
        <v>132</v>
      </c>
      <c r="C108" s="8" t="s">
        <v>156</v>
      </c>
      <c r="D108" s="2" t="s">
        <v>157</v>
      </c>
      <c r="E108" s="48" t="s">
        <v>11</v>
      </c>
      <c r="F108" s="48" t="s">
        <v>12</v>
      </c>
      <c r="H108" s="2" t="s">
        <v>13</v>
      </c>
    </row>
    <row r="109" spans="1:9" ht="16.5" customHeight="1">
      <c r="A109" s="9" t="s">
        <v>131</v>
      </c>
      <c r="B109" s="9" t="s">
        <v>132</v>
      </c>
      <c r="D109" s="2" t="s">
        <v>158</v>
      </c>
      <c r="E109" s="48" t="s">
        <v>11</v>
      </c>
      <c r="F109" s="48" t="s">
        <v>12</v>
      </c>
      <c r="H109" s="2" t="s">
        <v>13</v>
      </c>
    </row>
    <row r="110" spans="1:9" ht="16.5" customHeight="1">
      <c r="A110" s="9" t="s">
        <v>131</v>
      </c>
      <c r="B110" s="9" t="s">
        <v>132</v>
      </c>
      <c r="C110" s="98">
        <v>10222069</v>
      </c>
      <c r="D110" s="2" t="s">
        <v>143</v>
      </c>
      <c r="E110" s="9" t="s">
        <v>11</v>
      </c>
      <c r="F110" s="9" t="s">
        <v>12</v>
      </c>
      <c r="G110" s="38">
        <v>1000000</v>
      </c>
      <c r="H110" s="9" t="s">
        <v>13</v>
      </c>
      <c r="I110" s="68"/>
    </row>
    <row r="111" spans="1:9" ht="16.5" customHeight="1">
      <c r="A111" s="9" t="s">
        <v>131</v>
      </c>
      <c r="B111" s="9" t="s">
        <v>132</v>
      </c>
      <c r="C111" s="13" t="s">
        <v>12</v>
      </c>
      <c r="D111" s="23" t="s">
        <v>144</v>
      </c>
      <c r="E111" s="9" t="s">
        <v>11</v>
      </c>
      <c r="F111" s="9" t="s">
        <v>12</v>
      </c>
      <c r="G111" s="38"/>
      <c r="H111" s="9" t="s">
        <v>13</v>
      </c>
      <c r="I111" s="68"/>
    </row>
    <row r="112" spans="1:9" ht="16.5" customHeight="1">
      <c r="A112" s="32" t="s">
        <v>131</v>
      </c>
      <c r="B112" s="32" t="s">
        <v>132</v>
      </c>
      <c r="C112" s="35">
        <v>3690</v>
      </c>
      <c r="D112" s="32" t="s">
        <v>151</v>
      </c>
      <c r="E112" s="32" t="s">
        <v>11</v>
      </c>
      <c r="F112" s="32" t="s">
        <v>12</v>
      </c>
      <c r="G112" s="93"/>
      <c r="H112" s="32" t="s">
        <v>13</v>
      </c>
      <c r="I112" s="71"/>
    </row>
    <row r="113" spans="1:9" ht="16.5" customHeight="1">
      <c r="A113" s="9" t="s">
        <v>131</v>
      </c>
      <c r="B113" s="9" t="s">
        <v>132</v>
      </c>
      <c r="C113" s="10">
        <v>3724</v>
      </c>
      <c r="D113" s="9" t="s">
        <v>146</v>
      </c>
      <c r="E113" s="9" t="s">
        <v>11</v>
      </c>
      <c r="F113" s="9" t="s">
        <v>12</v>
      </c>
      <c r="G113" s="43" t="s">
        <v>147</v>
      </c>
      <c r="H113" s="9" t="s">
        <v>13</v>
      </c>
      <c r="I113" s="68"/>
    </row>
    <row r="114" spans="1:9" ht="16.5" customHeight="1">
      <c r="A114" s="41" t="s">
        <v>131</v>
      </c>
      <c r="B114" s="41" t="s">
        <v>132</v>
      </c>
      <c r="C114" s="42">
        <v>3687</v>
      </c>
      <c r="D114" s="41" t="s">
        <v>148</v>
      </c>
      <c r="E114" s="41" t="s">
        <v>11</v>
      </c>
      <c r="F114" s="41" t="s">
        <v>12</v>
      </c>
      <c r="G114" s="96"/>
      <c r="H114" s="41" t="s">
        <v>13</v>
      </c>
      <c r="I114" s="73"/>
    </row>
    <row r="115" spans="1:9" ht="16.5" customHeight="1">
      <c r="A115" s="41" t="s">
        <v>131</v>
      </c>
      <c r="B115" s="41" t="s">
        <v>132</v>
      </c>
      <c r="C115" s="42">
        <v>3688</v>
      </c>
      <c r="D115" s="41" t="s">
        <v>149</v>
      </c>
      <c r="E115" s="41" t="s">
        <v>11</v>
      </c>
      <c r="F115" s="41" t="s">
        <v>12</v>
      </c>
      <c r="G115" s="96"/>
      <c r="H115" s="41" t="s">
        <v>13</v>
      </c>
      <c r="I115" s="73"/>
    </row>
    <row r="116" spans="1:9" ht="16.5" customHeight="1">
      <c r="A116" s="41" t="s">
        <v>131</v>
      </c>
      <c r="B116" s="41" t="s">
        <v>132</v>
      </c>
      <c r="C116" s="42">
        <v>3689</v>
      </c>
      <c r="D116" s="41" t="s">
        <v>150</v>
      </c>
      <c r="E116" s="41" t="s">
        <v>11</v>
      </c>
      <c r="F116" s="41" t="s">
        <v>12</v>
      </c>
      <c r="G116" s="96"/>
      <c r="H116" s="41" t="s">
        <v>13</v>
      </c>
      <c r="I116" s="73"/>
    </row>
    <row r="117" spans="1:9" ht="16.5" customHeight="1">
      <c r="A117" s="41" t="s">
        <v>131</v>
      </c>
      <c r="B117" s="41" t="s">
        <v>132</v>
      </c>
      <c r="C117" s="42">
        <v>3691</v>
      </c>
      <c r="D117" s="41" t="s">
        <v>152</v>
      </c>
      <c r="E117" s="41" t="s">
        <v>11</v>
      </c>
      <c r="F117" s="41" t="s">
        <v>12</v>
      </c>
      <c r="G117" s="96"/>
      <c r="H117" s="41" t="s">
        <v>13</v>
      </c>
      <c r="I117" s="73"/>
    </row>
    <row r="118" spans="1:9" ht="16.5" customHeight="1">
      <c r="A118" s="41" t="s">
        <v>131</v>
      </c>
      <c r="B118" s="41" t="s">
        <v>132</v>
      </c>
      <c r="C118" s="42">
        <v>3692</v>
      </c>
      <c r="D118" s="41" t="s">
        <v>153</v>
      </c>
      <c r="E118" s="41" t="s">
        <v>11</v>
      </c>
      <c r="F118" s="41" t="s">
        <v>12</v>
      </c>
      <c r="G118" s="96"/>
      <c r="H118" s="41" t="s">
        <v>13</v>
      </c>
      <c r="I118" s="73"/>
    </row>
    <row r="119" spans="1:9" ht="16.5" customHeight="1">
      <c r="A119" s="15" t="s">
        <v>131</v>
      </c>
      <c r="B119" s="15" t="s">
        <v>132</v>
      </c>
      <c r="C119" s="16">
        <v>3707</v>
      </c>
      <c r="D119" s="15" t="s">
        <v>145</v>
      </c>
      <c r="E119" s="15" t="s">
        <v>11</v>
      </c>
      <c r="F119" s="15" t="s">
        <v>12</v>
      </c>
      <c r="G119" s="69">
        <v>150000</v>
      </c>
      <c r="H119" s="15" t="s">
        <v>27</v>
      </c>
      <c r="I119" s="73"/>
    </row>
    <row r="120" spans="1:9" ht="16.5" customHeight="1">
      <c r="A120" s="15" t="s">
        <v>131</v>
      </c>
      <c r="B120" s="15" t="s">
        <v>132</v>
      </c>
      <c r="C120" s="16">
        <v>3384</v>
      </c>
      <c r="D120" s="15" t="s">
        <v>136</v>
      </c>
      <c r="E120" s="15" t="s">
        <v>20</v>
      </c>
      <c r="F120" s="15" t="s">
        <v>12</v>
      </c>
      <c r="G120" s="69">
        <v>15691207</v>
      </c>
      <c r="H120" s="15" t="s">
        <v>27</v>
      </c>
      <c r="I120" s="68"/>
    </row>
    <row r="121" spans="1:9" ht="16.5" customHeight="1">
      <c r="A121" s="15" t="s">
        <v>131</v>
      </c>
      <c r="B121" s="15" t="s">
        <v>132</v>
      </c>
      <c r="C121" s="16">
        <v>3337</v>
      </c>
      <c r="D121" s="15" t="s">
        <v>137</v>
      </c>
      <c r="E121" s="15" t="s">
        <v>20</v>
      </c>
      <c r="F121" s="15" t="s">
        <v>12</v>
      </c>
      <c r="G121" s="69">
        <v>300000</v>
      </c>
      <c r="H121" s="15" t="s">
        <v>27</v>
      </c>
      <c r="I121" s="59"/>
    </row>
    <row r="122" spans="1:9" ht="16.5" customHeight="1">
      <c r="A122" s="19" t="s">
        <v>131</v>
      </c>
      <c r="B122" s="19" t="s">
        <v>132</v>
      </c>
      <c r="C122" s="21">
        <v>3197</v>
      </c>
      <c r="D122" s="37" t="s">
        <v>142</v>
      </c>
      <c r="E122" s="19" t="s">
        <v>20</v>
      </c>
      <c r="F122" s="19" t="s">
        <v>12</v>
      </c>
      <c r="G122" s="46">
        <v>325000</v>
      </c>
      <c r="H122" s="19" t="s">
        <v>21</v>
      </c>
      <c r="I122" s="68"/>
    </row>
    <row r="123" spans="1:9" ht="16.5" customHeight="1">
      <c r="A123" s="19" t="s">
        <v>131</v>
      </c>
      <c r="B123" s="19" t="s">
        <v>132</v>
      </c>
      <c r="C123" s="21">
        <v>3389</v>
      </c>
      <c r="D123" s="37" t="s">
        <v>128</v>
      </c>
      <c r="E123" s="19" t="s">
        <v>20</v>
      </c>
      <c r="F123" s="19" t="s">
        <v>12</v>
      </c>
      <c r="G123" s="46">
        <v>168000</v>
      </c>
      <c r="H123" s="19" t="s">
        <v>21</v>
      </c>
      <c r="I123" s="68"/>
    </row>
    <row r="124" spans="1:9" ht="16.5" customHeight="1">
      <c r="A124" s="19" t="s">
        <v>131</v>
      </c>
      <c r="B124" s="19" t="s">
        <v>132</v>
      </c>
      <c r="C124" s="21">
        <v>3291</v>
      </c>
      <c r="D124" s="37" t="s">
        <v>130</v>
      </c>
      <c r="E124" s="19" t="s">
        <v>20</v>
      </c>
      <c r="F124" s="19" t="s">
        <v>12</v>
      </c>
      <c r="G124" s="46" t="s">
        <v>154</v>
      </c>
      <c r="H124" s="19" t="s">
        <v>21</v>
      </c>
    </row>
    <row r="125" spans="1:9" ht="16.5" customHeight="1">
      <c r="A125" s="19" t="s">
        <v>131</v>
      </c>
      <c r="B125" s="19" t="s">
        <v>132</v>
      </c>
      <c r="C125" s="21">
        <v>3531</v>
      </c>
      <c r="D125" s="37" t="s">
        <v>138</v>
      </c>
      <c r="E125" s="19" t="s">
        <v>11</v>
      </c>
      <c r="F125" s="19" t="s">
        <v>12</v>
      </c>
      <c r="G125" s="78"/>
      <c r="H125" s="19" t="s">
        <v>21</v>
      </c>
      <c r="I125" s="68"/>
    </row>
    <row r="126" spans="1:9" ht="16.5" customHeight="1" thickBot="1">
      <c r="A126" s="19" t="s">
        <v>131</v>
      </c>
      <c r="B126" s="19" t="s">
        <v>132</v>
      </c>
      <c r="C126" s="21">
        <v>3411</v>
      </c>
      <c r="D126" s="37" t="s">
        <v>139</v>
      </c>
      <c r="E126" s="19" t="s">
        <v>20</v>
      </c>
      <c r="F126" s="19" t="s">
        <v>12</v>
      </c>
      <c r="G126" s="46">
        <v>21912</v>
      </c>
      <c r="H126" s="19" t="s">
        <v>21</v>
      </c>
      <c r="I126" s="59"/>
    </row>
    <row r="127" spans="1:9" ht="16.5" customHeight="1" thickBot="1">
      <c r="A127" s="9"/>
      <c r="B127" s="9"/>
      <c r="C127" s="6"/>
      <c r="D127" s="3"/>
      <c r="G127" s="84">
        <f>SUM(G104:G112)</f>
        <v>1136000</v>
      </c>
    </row>
    <row r="128" spans="1:9" ht="16.5" customHeight="1">
      <c r="C128" s="6"/>
      <c r="D128" s="3"/>
    </row>
    <row r="129" spans="1:9" ht="16.5" customHeight="1">
      <c r="C129" s="6"/>
      <c r="D129" s="3"/>
    </row>
    <row r="130" spans="1:9" ht="16.5" customHeight="1">
      <c r="A130" s="9" t="s">
        <v>159</v>
      </c>
      <c r="B130" s="9" t="s">
        <v>160</v>
      </c>
      <c r="C130" s="10">
        <v>3801</v>
      </c>
      <c r="D130" s="9" t="s">
        <v>161</v>
      </c>
      <c r="E130" s="9" t="s">
        <v>11</v>
      </c>
      <c r="F130" s="9" t="s">
        <v>12</v>
      </c>
      <c r="G130" s="43">
        <v>1411017.69</v>
      </c>
      <c r="H130" s="9" t="s">
        <v>13</v>
      </c>
      <c r="I130" s="68" t="s">
        <v>14</v>
      </c>
    </row>
    <row r="131" spans="1:9" ht="16.5" customHeight="1">
      <c r="A131" s="9" t="s">
        <v>159</v>
      </c>
      <c r="B131" s="9" t="s">
        <v>160</v>
      </c>
      <c r="C131" s="10">
        <v>3786</v>
      </c>
      <c r="D131" s="68" t="s">
        <v>162</v>
      </c>
      <c r="E131" s="9" t="s">
        <v>11</v>
      </c>
      <c r="F131" s="9" t="s">
        <v>12</v>
      </c>
      <c r="G131" s="43">
        <v>16481.2</v>
      </c>
      <c r="H131" s="9" t="s">
        <v>13</v>
      </c>
      <c r="I131" s="40" t="s">
        <v>14</v>
      </c>
    </row>
    <row r="132" spans="1:9" ht="16.5" customHeight="1">
      <c r="A132" s="9" t="s">
        <v>159</v>
      </c>
      <c r="B132" s="9" t="s">
        <v>160</v>
      </c>
      <c r="C132" s="10">
        <v>3822</v>
      </c>
      <c r="D132" s="9" t="s">
        <v>163</v>
      </c>
      <c r="E132" s="9" t="s">
        <v>11</v>
      </c>
      <c r="F132" s="9" t="s">
        <v>12</v>
      </c>
      <c r="G132" s="43">
        <v>44390</v>
      </c>
      <c r="H132" s="9" t="s">
        <v>13</v>
      </c>
      <c r="I132" s="40" t="s">
        <v>14</v>
      </c>
    </row>
    <row r="133" spans="1:9" ht="16.5" customHeight="1">
      <c r="A133" s="9" t="s">
        <v>159</v>
      </c>
      <c r="B133" s="9" t="s">
        <v>160</v>
      </c>
      <c r="C133" s="10">
        <v>3807</v>
      </c>
      <c r="D133" s="9" t="s">
        <v>164</v>
      </c>
      <c r="E133" s="9" t="s">
        <v>11</v>
      </c>
      <c r="F133" s="9" t="s">
        <v>12</v>
      </c>
      <c r="G133" s="43">
        <v>64000</v>
      </c>
      <c r="H133" s="9" t="s">
        <v>13</v>
      </c>
      <c r="I133" s="40" t="s">
        <v>14</v>
      </c>
    </row>
    <row r="134" spans="1:9" ht="16.5" customHeight="1">
      <c r="A134" s="9" t="s">
        <v>159</v>
      </c>
      <c r="B134" s="9" t="s">
        <v>160</v>
      </c>
      <c r="C134" s="10">
        <v>3715</v>
      </c>
      <c r="D134" s="9" t="s">
        <v>165</v>
      </c>
      <c r="E134" s="9" t="s">
        <v>11</v>
      </c>
      <c r="F134" s="9" t="s">
        <v>12</v>
      </c>
      <c r="G134" s="43">
        <v>1960</v>
      </c>
      <c r="H134" s="9" t="s">
        <v>13</v>
      </c>
      <c r="I134" s="68" t="s">
        <v>166</v>
      </c>
    </row>
    <row r="135" spans="1:9" ht="16.5" customHeight="1">
      <c r="A135" s="9" t="s">
        <v>159</v>
      </c>
      <c r="B135" s="9" t="s">
        <v>160</v>
      </c>
      <c r="C135" s="10">
        <v>3631</v>
      </c>
      <c r="D135" s="9" t="s">
        <v>167</v>
      </c>
      <c r="E135" s="9" t="s">
        <v>11</v>
      </c>
      <c r="F135" s="9" t="s">
        <v>12</v>
      </c>
      <c r="G135" s="43">
        <v>542000</v>
      </c>
      <c r="H135" s="9" t="s">
        <v>13</v>
      </c>
      <c r="I135" s="40" t="s">
        <v>14</v>
      </c>
    </row>
    <row r="136" spans="1:9" ht="16.5" customHeight="1">
      <c r="A136" s="15" t="s">
        <v>159</v>
      </c>
      <c r="B136" s="15" t="s">
        <v>160</v>
      </c>
      <c r="C136" s="27">
        <v>3631</v>
      </c>
      <c r="D136" s="28" t="s">
        <v>168</v>
      </c>
      <c r="E136" s="15" t="s">
        <v>11</v>
      </c>
      <c r="F136" s="15" t="s">
        <v>12</v>
      </c>
      <c r="G136" s="69"/>
      <c r="H136" s="30" t="s">
        <v>27</v>
      </c>
      <c r="I136" s="81"/>
    </row>
    <row r="137" spans="1:9" ht="16.5" customHeight="1" thickBot="1">
      <c r="A137" s="15" t="s">
        <v>159</v>
      </c>
      <c r="B137" s="15" t="s">
        <v>160</v>
      </c>
      <c r="C137" s="27">
        <v>3631</v>
      </c>
      <c r="D137" s="28" t="s">
        <v>169</v>
      </c>
      <c r="E137" s="15" t="s">
        <v>11</v>
      </c>
      <c r="F137" s="15" t="s">
        <v>12</v>
      </c>
      <c r="G137" s="69"/>
      <c r="H137" s="30" t="s">
        <v>27</v>
      </c>
      <c r="I137" s="81"/>
    </row>
    <row r="138" spans="1:9" ht="16.5" customHeight="1" thickBot="1">
      <c r="C138" s="6"/>
      <c r="D138" s="3"/>
      <c r="G138" s="84">
        <f>SUM(G130:G135)</f>
        <v>2079848.89</v>
      </c>
    </row>
    <row r="139" spans="1:9" ht="16.5" customHeight="1">
      <c r="C139" s="6"/>
      <c r="D139" s="3"/>
    </row>
  </sheetData>
  <mergeCells count="1">
    <mergeCell ref="H1:I1"/>
  </mergeCells>
  <phoneticPr fontId="2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D3A5FF7-78F5-494E-9303-D0417A0E4C49}">
          <x14:formula1>
            <xm:f>Sheet2!$C$2:$C$3</xm:f>
          </x14:formula1>
          <xm:sqref>F130:F137 F84:F100 F104:F126 F2:F54 F57:F74</xm:sqref>
        </x14:dataValidation>
        <x14:dataValidation type="list" allowBlank="1" showInputMessage="1" showErrorMessage="1" xr:uid="{24D281EE-25F9-4E00-83C7-F1239A2FAC9E}">
          <x14:formula1>
            <xm:f>Sheet2!$A$2:$A$3</xm:f>
          </x14:formula1>
          <xm:sqref>E130:E137 E83:E102 E104:E126 E2:E76</xm:sqref>
        </x14:dataValidation>
        <x14:dataValidation type="list" allowBlank="1" showInputMessage="1" showErrorMessage="1" xr:uid="{6D9A87A9-39DB-4DDB-B2DA-636B4E0E0A62}">
          <x14:formula1>
            <xm:f>Sheet2!$E$2:$E$5</xm:f>
          </x14:formula1>
          <xm:sqref>H37:I37 H40:H46 H47:I54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22BA7-92F4-4EF9-B0D9-F41061734C3C}">
  <dimension ref="B2:C24"/>
  <sheetViews>
    <sheetView workbookViewId="0">
      <selection activeCell="C8" sqref="C8:C9"/>
    </sheetView>
  </sheetViews>
  <sheetFormatPr defaultRowHeight="14.25"/>
  <cols>
    <col min="2" max="2" width="20.125" customWidth="1"/>
    <col min="3" max="3" width="15.875" style="99" customWidth="1"/>
  </cols>
  <sheetData>
    <row r="2" spans="2:3">
      <c r="B2" t="s">
        <v>8</v>
      </c>
      <c r="C2" s="103">
        <f>'BIM Teams'!G13</f>
        <v>582646</v>
      </c>
    </row>
    <row r="3" spans="2:3">
      <c r="B3" t="s">
        <v>9</v>
      </c>
      <c r="C3" s="102"/>
    </row>
    <row r="5" spans="2:3">
      <c r="B5" t="s">
        <v>29</v>
      </c>
      <c r="C5" s="103">
        <f>'BIM Teams'!G38</f>
        <v>1672641.56</v>
      </c>
    </row>
    <row r="6" spans="2:3">
      <c r="B6" t="s">
        <v>171</v>
      </c>
      <c r="C6" s="102"/>
    </row>
    <row r="8" spans="2:3">
      <c r="B8" t="s">
        <v>58</v>
      </c>
      <c r="C8" s="103">
        <f>'BIM Teams'!G55</f>
        <v>1698039.4</v>
      </c>
    </row>
    <row r="9" spans="2:3">
      <c r="B9" t="s">
        <v>172</v>
      </c>
      <c r="C9" s="102"/>
    </row>
    <row r="11" spans="2:3">
      <c r="B11" t="s">
        <v>177</v>
      </c>
      <c r="C11" s="103">
        <f>'BIM Teams'!G75</f>
        <v>2119710.5260999999</v>
      </c>
    </row>
    <row r="12" spans="2:3">
      <c r="B12" t="s">
        <v>79</v>
      </c>
      <c r="C12" s="102"/>
    </row>
    <row r="14" spans="2:3">
      <c r="B14" t="s">
        <v>173</v>
      </c>
      <c r="C14" s="103">
        <f>'BIM Teams'!G101</f>
        <v>26037563</v>
      </c>
    </row>
    <row r="15" spans="2:3">
      <c r="B15" t="s">
        <v>110</v>
      </c>
      <c r="C15" s="102"/>
    </row>
    <row r="17" spans="2:3">
      <c r="B17" t="s">
        <v>174</v>
      </c>
      <c r="C17" s="103">
        <f>'BIM Teams'!G82</f>
        <v>688454.12000000011</v>
      </c>
    </row>
    <row r="18" spans="2:3">
      <c r="B18" t="s">
        <v>101</v>
      </c>
      <c r="C18" s="102"/>
    </row>
    <row r="20" spans="2:3">
      <c r="B20" t="s">
        <v>131</v>
      </c>
      <c r="C20" s="103">
        <f>'BIM Teams'!G127</f>
        <v>1136000</v>
      </c>
    </row>
    <row r="21" spans="2:3">
      <c r="B21" t="s">
        <v>175</v>
      </c>
      <c r="C21" s="102"/>
    </row>
    <row r="23" spans="2:3">
      <c r="B23" t="s">
        <v>34</v>
      </c>
      <c r="C23" s="102"/>
    </row>
    <row r="24" spans="2:3">
      <c r="B24" t="s">
        <v>176</v>
      </c>
      <c r="C24" s="102"/>
    </row>
  </sheetData>
  <mergeCells count="8">
    <mergeCell ref="C23:C24"/>
    <mergeCell ref="C11:C12"/>
    <mergeCell ref="C2:C3"/>
    <mergeCell ref="C5:C6"/>
    <mergeCell ref="C8:C9"/>
    <mergeCell ref="C14:C15"/>
    <mergeCell ref="C17:C18"/>
    <mergeCell ref="C20:C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209DD-1B52-4F26-BC4C-3B5E73EAD657}">
  <dimension ref="A2:E5"/>
  <sheetViews>
    <sheetView workbookViewId="0">
      <selection activeCell="E6" sqref="E6"/>
    </sheetView>
  </sheetViews>
  <sheetFormatPr defaultRowHeight="14.25"/>
  <cols>
    <col min="5" max="5" width="11" bestFit="1" customWidth="1"/>
  </cols>
  <sheetData>
    <row r="2" spans="1:5">
      <c r="A2" t="s">
        <v>11</v>
      </c>
      <c r="C2" t="s">
        <v>12</v>
      </c>
      <c r="E2" t="s">
        <v>13</v>
      </c>
    </row>
    <row r="3" spans="1:5">
      <c r="A3" t="s">
        <v>20</v>
      </c>
      <c r="C3" t="s">
        <v>108</v>
      </c>
      <c r="E3" t="s">
        <v>27</v>
      </c>
    </row>
    <row r="4" spans="1:5">
      <c r="E4" t="s">
        <v>21</v>
      </c>
    </row>
    <row r="5" spans="1:5">
      <c r="E5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BIM Teams</vt:lpstr>
      <vt:lpstr>Work load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Abdelhakim Talaat</dc:creator>
  <cp:keywords/>
  <dc:description/>
  <cp:lastModifiedBy>Abdelhakim Talaat</cp:lastModifiedBy>
  <cp:revision/>
  <dcterms:created xsi:type="dcterms:W3CDTF">2025-07-27T14:37:28Z</dcterms:created>
  <dcterms:modified xsi:type="dcterms:W3CDTF">2026-10-20T08:38:54Z</dcterms:modified>
  <cp:category/>
  <cp:contentStatus/>
</cp:coreProperties>
</file>